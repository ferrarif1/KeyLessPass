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C:\Users\scott\repos\password-policy-language\study\"/>
    </mc:Choice>
  </mc:AlternateContent>
  <xr:revisionPtr revIDLastSave="0" documentId="13_ncr:1_{BAFC2E06-3641-4306-B055-9928DD62813B}" xr6:coauthVersionLast="47" xr6:coauthVersionMax="47" xr10:uidLastSave="{00000000-0000-0000-0000-000000000000}"/>
  <bookViews>
    <workbookView xWindow="-120" yWindow="-120" windowWidth="38640" windowHeight="21240" xr2:uid="{00000000-000D-0000-FFFF-FFFF00000000}"/>
  </bookViews>
  <sheets>
    <sheet name="Data" sheetId="1" r:id="rId1"/>
    <sheet name="Extra data" sheetId="3" r:id="rId2"/>
    <sheet name="References"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Z29" i="1" l="1"/>
  <c r="Z28" i="1"/>
  <c r="AL29" i="1"/>
  <c r="AL28" i="1"/>
  <c r="AX29" i="1"/>
  <c r="AX28" i="1"/>
  <c r="BJ29" i="1"/>
  <c r="BJ28" i="1"/>
  <c r="CK29" i="1"/>
  <c r="CJ28" i="1"/>
  <c r="BV29" i="1"/>
  <c r="BW29" i="1"/>
  <c r="BX29" i="1"/>
  <c r="BY29" i="1"/>
  <c r="BZ29" i="1"/>
  <c r="CA29" i="1"/>
  <c r="CB29" i="1"/>
  <c r="CC29" i="1"/>
  <c r="CD29" i="1"/>
  <c r="CE29" i="1"/>
  <c r="CF29" i="1"/>
  <c r="CG29" i="1"/>
  <c r="CH29" i="1"/>
  <c r="CI29" i="1"/>
  <c r="CJ29" i="1"/>
  <c r="BW28" i="1"/>
  <c r="BX28" i="1"/>
  <c r="BY28" i="1"/>
  <c r="BZ28" i="1"/>
  <c r="CA28" i="1"/>
  <c r="CB28" i="1"/>
  <c r="CC28" i="1"/>
  <c r="CD28" i="1"/>
  <c r="CE28" i="1"/>
  <c r="CF28" i="1"/>
  <c r="CG28" i="1"/>
  <c r="CH28" i="1"/>
  <c r="CI28" i="1"/>
  <c r="BV28" i="1"/>
  <c r="CJ3" i="1"/>
  <c r="CJ4" i="1"/>
  <c r="CJ5" i="1"/>
  <c r="CJ6" i="1"/>
  <c r="CJ7" i="1"/>
  <c r="CJ8" i="1"/>
  <c r="CJ9" i="1"/>
  <c r="CJ10" i="1"/>
  <c r="CJ11" i="1"/>
  <c r="CJ12" i="1"/>
  <c r="CJ13" i="1"/>
  <c r="CJ14" i="1"/>
  <c r="CJ15" i="1"/>
  <c r="CJ16" i="1"/>
  <c r="CJ17" i="1"/>
  <c r="CJ18" i="1"/>
  <c r="CJ19" i="1"/>
  <c r="CJ20" i="1"/>
  <c r="CJ21" i="1"/>
  <c r="CJ22" i="1"/>
  <c r="CJ23" i="1"/>
  <c r="CJ24" i="1"/>
  <c r="CJ25" i="1"/>
  <c r="CJ26" i="1"/>
  <c r="CJ2" i="1"/>
  <c r="L28" i="1"/>
  <c r="L29" i="1" s="1"/>
  <c r="BU28" i="1"/>
  <c r="BU29" i="1" s="1"/>
  <c r="BI28" i="1"/>
  <c r="BI29" i="1" s="1"/>
  <c r="AW28" i="1"/>
  <c r="AW29" i="1" s="1"/>
  <c r="AK28" i="1"/>
  <c r="AK29" i="1" s="1"/>
  <c r="Y28" i="1"/>
  <c r="Y29" i="1" s="1"/>
  <c r="BT28" i="1"/>
  <c r="BT29" i="1" s="1"/>
  <c r="BH28" i="1"/>
  <c r="BH29" i="1" s="1"/>
  <c r="AV28" i="1"/>
  <c r="AV29" i="1" s="1"/>
  <c r="AJ28" i="1"/>
  <c r="AJ29" i="1" s="1"/>
  <c r="X28" i="1"/>
  <c r="X29" i="1" s="1"/>
  <c r="E28" i="1"/>
  <c r="F28" i="1"/>
  <c r="G28" i="1"/>
  <c r="H28" i="1"/>
  <c r="N28" i="1"/>
  <c r="O28" i="1"/>
  <c r="P28" i="1"/>
  <c r="Q28" i="1"/>
  <c r="S28" i="1"/>
  <c r="T28" i="1"/>
  <c r="U28" i="1"/>
  <c r="V28" i="1"/>
  <c r="W28" i="1"/>
  <c r="AA28" i="1"/>
  <c r="AB28" i="1"/>
  <c r="AC28" i="1"/>
  <c r="AE28" i="1"/>
  <c r="AF28" i="1"/>
  <c r="AG28" i="1"/>
  <c r="AH28" i="1"/>
  <c r="AI28" i="1"/>
  <c r="AM28" i="1"/>
  <c r="AN28" i="1"/>
  <c r="AO28" i="1"/>
  <c r="AQ28" i="1"/>
  <c r="AR28" i="1"/>
  <c r="AS28" i="1"/>
  <c r="AT28" i="1"/>
  <c r="AU28" i="1"/>
  <c r="AY28" i="1"/>
  <c r="AZ28" i="1"/>
  <c r="BA28" i="1"/>
  <c r="BC28" i="1"/>
  <c r="BD28" i="1"/>
  <c r="BE28" i="1"/>
  <c r="BF28" i="1"/>
  <c r="BG28" i="1"/>
  <c r="BK28" i="1"/>
  <c r="BL28" i="1"/>
  <c r="BM28" i="1"/>
  <c r="BO28" i="1"/>
  <c r="BP28" i="1"/>
  <c r="BQ28" i="1"/>
  <c r="BR28" i="1"/>
  <c r="BS28" i="1"/>
  <c r="BV3" i="1"/>
  <c r="BV4" i="1"/>
  <c r="BV5" i="1"/>
  <c r="BV6" i="1"/>
  <c r="BV7" i="1"/>
  <c r="BV8" i="1"/>
  <c r="BV9" i="1"/>
  <c r="BV10" i="1"/>
  <c r="BV11" i="1"/>
  <c r="BV12" i="1"/>
  <c r="BV13" i="1"/>
  <c r="BV14" i="1"/>
  <c r="BV15" i="1"/>
  <c r="BV16" i="1"/>
  <c r="BV17" i="1"/>
  <c r="BV18" i="1"/>
  <c r="BV19" i="1"/>
  <c r="BV20" i="1"/>
  <c r="BV21" i="1"/>
  <c r="BV22" i="1"/>
  <c r="BV23" i="1"/>
  <c r="BV24" i="1"/>
  <c r="BV25" i="1"/>
  <c r="BV26" i="1"/>
  <c r="BV2" i="1"/>
  <c r="BN3" i="1"/>
  <c r="BN4" i="1"/>
  <c r="BN5" i="1"/>
  <c r="BN6" i="1"/>
  <c r="BN7" i="1"/>
  <c r="BN8" i="1"/>
  <c r="BN9" i="1"/>
  <c r="BN10" i="1"/>
  <c r="BN28" i="1" s="1"/>
  <c r="BN11" i="1"/>
  <c r="BN12" i="1"/>
  <c r="BN13" i="1"/>
  <c r="BN14" i="1"/>
  <c r="BN15" i="1"/>
  <c r="BN16" i="1"/>
  <c r="BN17" i="1"/>
  <c r="BN18" i="1"/>
  <c r="BN19" i="1"/>
  <c r="BN20" i="1"/>
  <c r="BN21" i="1"/>
  <c r="BN22" i="1"/>
  <c r="BN23" i="1"/>
  <c r="BN24" i="1"/>
  <c r="BN25" i="1"/>
  <c r="BN26" i="1"/>
  <c r="BN2" i="1"/>
  <c r="BJ3" i="1"/>
  <c r="BJ4" i="1"/>
  <c r="BJ5" i="1"/>
  <c r="BJ6" i="1"/>
  <c r="BJ7" i="1"/>
  <c r="BJ8" i="1"/>
  <c r="BJ9" i="1"/>
  <c r="BJ10" i="1"/>
  <c r="BJ11" i="1"/>
  <c r="BJ12" i="1"/>
  <c r="BJ13" i="1"/>
  <c r="BJ14" i="1"/>
  <c r="BJ15" i="1"/>
  <c r="BJ16" i="1"/>
  <c r="BJ17" i="1"/>
  <c r="BJ18" i="1"/>
  <c r="BJ19" i="1"/>
  <c r="BJ20" i="1"/>
  <c r="BJ21" i="1"/>
  <c r="BJ22" i="1"/>
  <c r="BJ23" i="1"/>
  <c r="BJ24" i="1"/>
  <c r="BJ25" i="1"/>
  <c r="BJ26" i="1"/>
  <c r="BJ2" i="1"/>
  <c r="BB3" i="1"/>
  <c r="BB28" i="1" s="1"/>
  <c r="BB4" i="1"/>
  <c r="BB5" i="1"/>
  <c r="BB6" i="1"/>
  <c r="BB7" i="1"/>
  <c r="BB8" i="1"/>
  <c r="BB9" i="1"/>
  <c r="BB10" i="1"/>
  <c r="BB11" i="1"/>
  <c r="BB12" i="1"/>
  <c r="BB13" i="1"/>
  <c r="BB14" i="1"/>
  <c r="BB15" i="1"/>
  <c r="BB16" i="1"/>
  <c r="BB17" i="1"/>
  <c r="BB18" i="1"/>
  <c r="BB19" i="1"/>
  <c r="BB20" i="1"/>
  <c r="BB21" i="1"/>
  <c r="BB22" i="1"/>
  <c r="BB23" i="1"/>
  <c r="BB24" i="1"/>
  <c r="BB25" i="1"/>
  <c r="BB26" i="1"/>
  <c r="BB2" i="1"/>
  <c r="AX3" i="1"/>
  <c r="AX4" i="1"/>
  <c r="AX5" i="1"/>
  <c r="AX6" i="1"/>
  <c r="AX7" i="1"/>
  <c r="AX8" i="1"/>
  <c r="AX9" i="1"/>
  <c r="AX10" i="1"/>
  <c r="AX11" i="1"/>
  <c r="AX12" i="1"/>
  <c r="AX13" i="1"/>
  <c r="AX14" i="1"/>
  <c r="AX15" i="1"/>
  <c r="AX16" i="1"/>
  <c r="AX17" i="1"/>
  <c r="AX18" i="1"/>
  <c r="AX19" i="1"/>
  <c r="AX20" i="1"/>
  <c r="AX21" i="1"/>
  <c r="AX22" i="1"/>
  <c r="AX23" i="1"/>
  <c r="AX24" i="1"/>
  <c r="AX25" i="1"/>
  <c r="AX26" i="1"/>
  <c r="AX2" i="1"/>
  <c r="AP3" i="1"/>
  <c r="AP4" i="1"/>
  <c r="AP5" i="1"/>
  <c r="AP6" i="1"/>
  <c r="AP7" i="1"/>
  <c r="AP8" i="1"/>
  <c r="AP9" i="1"/>
  <c r="AP10" i="1"/>
  <c r="AP11" i="1"/>
  <c r="AP12" i="1"/>
  <c r="AP13" i="1"/>
  <c r="AP14" i="1"/>
  <c r="AP15" i="1"/>
  <c r="AP16" i="1"/>
  <c r="AP17" i="1"/>
  <c r="AP18" i="1"/>
  <c r="AP19" i="1"/>
  <c r="AP20" i="1"/>
  <c r="AP21" i="1"/>
  <c r="AP22" i="1"/>
  <c r="AP23" i="1"/>
  <c r="AP24" i="1"/>
  <c r="AP25" i="1"/>
  <c r="AP26" i="1"/>
  <c r="AP2" i="1"/>
  <c r="AP28" i="1" s="1"/>
  <c r="AL3" i="1"/>
  <c r="AL4" i="1"/>
  <c r="AL5" i="1"/>
  <c r="AL6" i="1"/>
  <c r="AL7" i="1"/>
  <c r="AL8" i="1"/>
  <c r="AL9" i="1"/>
  <c r="AL10" i="1"/>
  <c r="AL11" i="1"/>
  <c r="AL12" i="1"/>
  <c r="AL13" i="1"/>
  <c r="AL14" i="1"/>
  <c r="AL15" i="1"/>
  <c r="AL16" i="1"/>
  <c r="AL17" i="1"/>
  <c r="AL18" i="1"/>
  <c r="AL19" i="1"/>
  <c r="AL20" i="1"/>
  <c r="AL21" i="1"/>
  <c r="AL22" i="1"/>
  <c r="AL23" i="1"/>
  <c r="AL24" i="1"/>
  <c r="AL25" i="1"/>
  <c r="AL26" i="1"/>
  <c r="AL2" i="1"/>
  <c r="AD3" i="1"/>
  <c r="AD4" i="1"/>
  <c r="AD5" i="1"/>
  <c r="AD6" i="1"/>
  <c r="AD7" i="1"/>
  <c r="AD8" i="1"/>
  <c r="AD9" i="1"/>
  <c r="AD10" i="1"/>
  <c r="AD11" i="1"/>
  <c r="AD12" i="1"/>
  <c r="AD13" i="1"/>
  <c r="AD14" i="1"/>
  <c r="AD15" i="1"/>
  <c r="AD16" i="1"/>
  <c r="AD17" i="1"/>
  <c r="AD18" i="1"/>
  <c r="AD19" i="1"/>
  <c r="AD20" i="1"/>
  <c r="AD21" i="1"/>
  <c r="AD22" i="1"/>
  <c r="AD23" i="1"/>
  <c r="AD24" i="1"/>
  <c r="AD25" i="1"/>
  <c r="AD26" i="1"/>
  <c r="AD2" i="1"/>
  <c r="AD28" i="1" s="1"/>
  <c r="Z3" i="1"/>
  <c r="Z4" i="1"/>
  <c r="Z5" i="1"/>
  <c r="Z6" i="1"/>
  <c r="Z7" i="1"/>
  <c r="Z8" i="1"/>
  <c r="Z9" i="1"/>
  <c r="Z10" i="1"/>
  <c r="Z11" i="1"/>
  <c r="Z12" i="1"/>
  <c r="Z13" i="1"/>
  <c r="Z14" i="1"/>
  <c r="Z15" i="1"/>
  <c r="Z16" i="1"/>
  <c r="Z17" i="1"/>
  <c r="Z18" i="1"/>
  <c r="Z19" i="1"/>
  <c r="Z20" i="1"/>
  <c r="Z21" i="1"/>
  <c r="Z22" i="1"/>
  <c r="Z23" i="1"/>
  <c r="Z24" i="1"/>
  <c r="Z25" i="1"/>
  <c r="Z26" i="1"/>
  <c r="Z2" i="1"/>
  <c r="R3" i="1"/>
  <c r="R4" i="1"/>
  <c r="R5" i="1"/>
  <c r="R6" i="1"/>
  <c r="R7" i="1"/>
  <c r="R8" i="1"/>
  <c r="R9" i="1"/>
  <c r="R10" i="1"/>
  <c r="R11" i="1"/>
  <c r="R12" i="1"/>
  <c r="R13" i="1"/>
  <c r="R14" i="1"/>
  <c r="R15" i="1"/>
  <c r="R16" i="1"/>
  <c r="R17" i="1"/>
  <c r="R18" i="1"/>
  <c r="R19" i="1"/>
  <c r="R20" i="1"/>
  <c r="R21" i="1"/>
  <c r="R22" i="1"/>
  <c r="R23" i="1"/>
  <c r="R24" i="1"/>
  <c r="R25" i="1"/>
  <c r="R26" i="1"/>
  <c r="R2" i="1"/>
  <c r="R28" i="1" s="1"/>
  <c r="M3" i="1"/>
  <c r="M4" i="1"/>
  <c r="M5" i="1"/>
  <c r="M6" i="1"/>
  <c r="M7" i="1"/>
  <c r="M8" i="1"/>
  <c r="M9" i="1"/>
  <c r="M10" i="1"/>
  <c r="M11" i="1"/>
  <c r="M12" i="1"/>
  <c r="M13" i="1"/>
  <c r="M14" i="1"/>
  <c r="M15" i="1"/>
  <c r="M16" i="1"/>
  <c r="M17" i="1"/>
  <c r="M18" i="1"/>
  <c r="M19" i="1"/>
  <c r="M20" i="1"/>
  <c r="M21" i="1"/>
  <c r="M22" i="1"/>
  <c r="M23" i="1"/>
  <c r="M24" i="1"/>
  <c r="M25" i="1"/>
  <c r="M26" i="1"/>
  <c r="M2" i="1"/>
  <c r="M28" i="1" s="1"/>
  <c r="D3" i="1"/>
  <c r="D4" i="1"/>
  <c r="D5" i="1"/>
  <c r="D6" i="1"/>
  <c r="D7" i="1"/>
  <c r="D8" i="1"/>
  <c r="D9" i="1"/>
  <c r="D10" i="1"/>
  <c r="D11" i="1"/>
  <c r="D12" i="1"/>
  <c r="D13" i="1"/>
  <c r="D14" i="1"/>
  <c r="D15" i="1"/>
  <c r="D16" i="1"/>
  <c r="D17" i="1"/>
  <c r="D18" i="1"/>
  <c r="D19" i="1"/>
  <c r="D20" i="1"/>
  <c r="D21" i="1"/>
  <c r="D22" i="1"/>
  <c r="D23" i="1"/>
  <c r="D24" i="1"/>
  <c r="D25" i="1"/>
  <c r="D26" i="1"/>
  <c r="D2" i="1"/>
  <c r="D28" i="1" s="1"/>
  <c r="C3" i="1"/>
  <c r="C28" i="1" s="1"/>
  <c r="C4" i="1"/>
  <c r="C5" i="1"/>
  <c r="C6" i="1"/>
  <c r="C7" i="1"/>
  <c r="C8" i="1"/>
  <c r="C9" i="1"/>
  <c r="C10" i="1"/>
  <c r="C11" i="1"/>
  <c r="C12" i="1"/>
  <c r="C13" i="1"/>
  <c r="C14" i="1"/>
  <c r="C15" i="1"/>
  <c r="C16" i="1"/>
  <c r="C17" i="1"/>
  <c r="C18" i="1"/>
  <c r="C19" i="1"/>
  <c r="C20" i="1"/>
  <c r="C21" i="1"/>
  <c r="C22" i="1"/>
  <c r="C23" i="1"/>
  <c r="C24" i="1"/>
  <c r="C25" i="1"/>
  <c r="C26" i="1"/>
  <c r="C2" i="1"/>
  <c r="CK2" i="1"/>
  <c r="CK28" i="1" s="1"/>
  <c r="CK3" i="1"/>
  <c r="CK4" i="1"/>
  <c r="CK5" i="1"/>
  <c r="CK6" i="1"/>
  <c r="CK7" i="1"/>
  <c r="CK8" i="1"/>
  <c r="CK9" i="1"/>
  <c r="CK10" i="1"/>
  <c r="CK11" i="1"/>
  <c r="CK12" i="1"/>
  <c r="CK13" i="1"/>
  <c r="CK14" i="1"/>
  <c r="CK15" i="1"/>
  <c r="CK16" i="1"/>
  <c r="CK17" i="1"/>
  <c r="CK18" i="1"/>
  <c r="CK19" i="1"/>
  <c r="CK20" i="1"/>
  <c r="CK21" i="1"/>
  <c r="CK22" i="1"/>
  <c r="CK23" i="1"/>
  <c r="CK24" i="1"/>
  <c r="CK25" i="1"/>
  <c r="CK26" i="1"/>
</calcChain>
</file>

<file path=xl/sharedStrings.xml><?xml version="1.0" encoding="utf-8"?>
<sst xmlns="http://schemas.openxmlformats.org/spreadsheetml/2006/main" count="898" uniqueCount="319">
  <si>
    <t>Duration (in seconds)</t>
  </si>
  <si>
    <t>Q1.2_First Click</t>
  </si>
  <si>
    <t>Q1.2_Last Click</t>
  </si>
  <si>
    <t>Q1.2_Page Submit</t>
  </si>
  <si>
    <t>Q1.2_Click Count</t>
  </si>
  <si>
    <t>Q3.1_First Click</t>
  </si>
  <si>
    <t>Q3.1_Last Click</t>
  </si>
  <si>
    <t>Q3.1_Page Submit</t>
  </si>
  <si>
    <t>Q3.1_Click Count</t>
  </si>
  <si>
    <t>Q3.3_First Click</t>
  </si>
  <si>
    <t>Q3.3_Last Click</t>
  </si>
  <si>
    <t>Q3.3_Page Submit</t>
  </si>
  <si>
    <t>Q3.3_Click Count</t>
  </si>
  <si>
    <t>Q3.6_1</t>
  </si>
  <si>
    <t>Q3.6_2</t>
  </si>
  <si>
    <t>Q3.6_3</t>
  </si>
  <si>
    <t>Q3.7_First Click</t>
  </si>
  <si>
    <t>Q3.7_Last Click</t>
  </si>
  <si>
    <t>Q3.7_Page Submit</t>
  </si>
  <si>
    <t>Q3.7_Click Count</t>
  </si>
  <si>
    <t>Q3.10_1</t>
  </si>
  <si>
    <t>Q3.10_2</t>
  </si>
  <si>
    <t>Q3.10_3</t>
  </si>
  <si>
    <t>Q3.11_First Click</t>
  </si>
  <si>
    <t>Q3.11_Last Click</t>
  </si>
  <si>
    <t>Q3.11_Page Submit</t>
  </si>
  <si>
    <t>Q3.11_Click Count</t>
  </si>
  <si>
    <t>Q3.14_1</t>
  </si>
  <si>
    <t>Q3.14_2</t>
  </si>
  <si>
    <t>Q3.14_3</t>
  </si>
  <si>
    <t>Q3.15_First Click</t>
  </si>
  <si>
    <t>Q3.15_Last Click</t>
  </si>
  <si>
    <t>Q3.15_Page Submit</t>
  </si>
  <si>
    <t>Q3.15_Click Count</t>
  </si>
  <si>
    <t>Q3.18_1</t>
  </si>
  <si>
    <t>Q3.18_2</t>
  </si>
  <si>
    <t>Q3.18_3</t>
  </si>
  <si>
    <t>Q3.19_First Click</t>
  </si>
  <si>
    <t>Q3.19_Last Click</t>
  </si>
  <si>
    <t>Q3.19_Page Submit</t>
  </si>
  <si>
    <t>Q3.19_Click Count</t>
  </si>
  <si>
    <t>Q3.22_1</t>
  </si>
  <si>
    <t>Q3.22_2</t>
  </si>
  <si>
    <t>Q3.22_3</t>
  </si>
  <si>
    <t>Q4.2_1</t>
  </si>
  <si>
    <t>Q4.2_2</t>
  </si>
  <si>
    <t>Q4.2_3</t>
  </si>
  <si>
    <t>Q4.2_4</t>
  </si>
  <si>
    <t>Q4.2_5</t>
  </si>
  <si>
    <t>Q4.2_6</t>
  </si>
  <si>
    <t>Q4.2_7</t>
  </si>
  <si>
    <t>Q4.2_8</t>
  </si>
  <si>
    <t>Q4.2_9</t>
  </si>
  <si>
    <t>Q4.2_10</t>
  </si>
  <si>
    <t>0.1.3</t>
  </si>
  <si>
    <t>Senior</t>
  </si>
  <si>
    <t>Computer Science</t>
  </si>
  <si>
    <t>Male</t>
  </si>
  <si>
    <t>{
  "rules": [
    {"min_length": 8}
  ]
}</t>
  </si>
  <si>
    <t>{
  "rules": [
    {"min_length": 8,
     "require_subset": {
       "options": ["upper", "lower", "digits", "symbols"], "count": 2
       }
     }  
  ]
}</t>
  </si>
  <si>
    <t>{
  "charsets": { "symbols": "!\"#$%'+,-./:;&lt;=&gt;?@[\\]_`{|}~" },
  "rules": [
    {
      "min_length": 12,
      "charset_requirements": {
       "alphabet": {
         "min_required": 1
       },
       "digits": {
         "min_required": 1
        }
      }
    }
  ]
}</t>
  </si>
  <si>
    <t>{
  "rules": [
    {"min_length": 8,
     "require": ["alphabet", "digit"]}
  ],
  "rules": [
    {"min_length": 15}
  ]
}</t>
  </si>
  <si>
    <t>Strongly disagree</t>
  </si>
  <si>
    <t>Disagree</t>
  </si>
  <si>
    <t>Neither Agree nor Disagree</t>
  </si>
  <si>
    <t>Agree</t>
  </si>
  <si>
    <t>the system is not too complex, but there are a few things I couldn't figure out (multiple main rules, minimum requirements for letters/numbers, etc.)</t>
  </si>
  <si>
    <t>i didn't try the library but the system itself was a bit hard to understand when trying to add more complex rules. i wish i had some examples for those but it would've probably undermined the questions in the trial.</t>
  </si>
  <si>
    <t>More difficult</t>
  </si>
  <si>
    <t>Easier</t>
  </si>
  <si>
    <t>no</t>
  </si>
  <si>
    <t>Junior</t>
  </si>
  <si>
    <t>Computer Engineering</t>
  </si>
  <si>
    <t>{"min_length": 8}</t>
  </si>
  <si>
    <t xml:space="preserve">{"min_length": 8, 
"require_subset": { "options": ["upper", "lower", "symbols", "digits"], "count": 2}}
</t>
  </si>
  <si>
    <t>{"min_length": 12,
"require": ["alphabet", "digits"],
"prohibited_substrings": [" "]}</t>
  </si>
  <si>
    <t>{"rules": [
    {"min_length": 8,
     "require": ["alphabet", "digits"]
    },
    {"min_length": 15}
    ]
}</t>
  </si>
  <si>
    <t>{"min_length": 8,
"charset_requirements": {"symbols": {"min_required": 2}},
"require": ["upper", "lower"],
"prohibited_substrings": [" ", "^", "'", ";", "/", "mywebsite"]
}</t>
  </si>
  <si>
    <t>Strongly Agree</t>
  </si>
  <si>
    <t>I enjoyed that the language felt innovative, and a true attempt at resolving a perceived problem. I highly commend the effort and thought that was put into this project. A positive for people who are not as skilled in computer science is that this system is more like filling in a form than actually writing a set of restrictions, which makes it easier to conceptualize.</t>
  </si>
  <si>
    <t>the nested array system feels a little clumsy, and I believe that there are better solutions than ones that require so much attention to detail when it comes to aligning brackets.</t>
  </si>
  <si>
    <t>Similar difficulty</t>
  </si>
  <si>
    <t>Good Luck!!!</t>
  </si>
  <si>
    <t>0.1.9</t>
  </si>
  <si>
    <t>Female</t>
  </si>
  <si>
    <t>{
  "min_length": 8
}</t>
  </si>
  <si>
    <t>{
  "min_length": 8,
  "require_subset": {
    "count": 2,
    "options": [
      "upper",
      "lower",
      "symbols",
      "digits"
    ]
  }
}</t>
  </si>
  <si>
    <t xml:space="preserve">{
  "min_length": 12,
  "prohibited_substrings": [
    " "
  ],
  "require": [
    "alphabet",
    "digits"
  ]
}
</t>
  </si>
  <si>
    <t xml:space="preserve">{
  "rules": [
    {
      "min_length": 8,
      "prohibited_substrings": [
        " "
      ],
      "require": [
        "alphabet",
        "digits"
      ]
    },
    {
      "min_length": 15
    }
  ]
}
</t>
  </si>
  <si>
    <t xml:space="preserve">{
  "min_length": 8,
  "prohibited_substrings": [
    " ",
    "\\^",
    "'",
    "\\/",
    "\\;",
    "mywebsite",
    "\\",
    "\""
  ],
  "charset_requirements": {
    "lower": {
      "min_required": 1
    },
    "upper": {
      "min_required": 1
    },
    "symbols": {
      "min_required": 2
    }
  }
}
</t>
  </si>
  <si>
    <t>Making a simple password policy was very fast</t>
  </si>
  <si>
    <t>I like verbosity, but this was a bit much.</t>
  </si>
  <si>
    <t>Much easier</t>
  </si>
  <si>
    <t>I don't see why the alphabet character set can't be used by simple rules.</t>
  </si>
  <si>
    <t>MS student</t>
  </si>
  <si>
    <t xml:space="preserve">{
  "min_length": 8
}
</t>
  </si>
  <si>
    <t xml:space="preserve">{
  "min_length": 8,
  "require_subset": {
    "count": 2,
    "options": [
      "upper",
      "lower",
      "symbols",
      "digits"
    ]
  }
}
</t>
  </si>
  <si>
    <t>{
  "charsets": {
    "symbols": "!\"#$%&amp;'()*+,-./:;&lt;=&gt;?@[\\]^_`{|}~\t\n\r\u000b\f"
  },
  "rules": [
    {
      "min_length": 12,
      "require": [
        "alphabet",
        "symbols"
      ]
    }
  ]
}</t>
  </si>
  <si>
    <t>{
  "rules": [
    {
      "min_length": 8,
      "require": [
        "digits",
        "alphabet"
      ]
    },
    {
      "min_length": 15
    }
  ]
}</t>
  </si>
  <si>
    <t>{
  "charsets": {
    "symbols": "!#$%&amp;()*+,-.:&lt;=&gt;?@[]_`{|}~\t\n\r\u000b\f"
  },
  "rules": [
    {
      "min_length": 8,
      "prohibited_substrings": [
        "mywebsite"
      ],
      "charset_requirements": {
        "symbols": {
          "min_required": 2
        },
        "lower": {
          "min_required": 1
        },
        "upper": {
          "min_required": 1
        }
      }
    }
  ]
}</t>
  </si>
  <si>
    <t>Clear naming scheme</t>
  </si>
  <si>
    <t>The documentation didn't make it clear if SimplePCP features also applied to PCP. For example, I guessed that the SimplePCP prohibited substrings feature was also compatible with PCP, but the documentation didn't say.</t>
  </si>
  <si>
    <t>Much more difficult</t>
  </si>
  <si>
    <t>{
  "min_length": 8,
  "require_subset": {
    "count": 2,
    "options": [
      "lower",
      "symbols",
      "digits",
      "upper"
    ]
  }
}</t>
  </si>
  <si>
    <t>{
  "min_length": 12,
  "prohibited_substrings": [
    " "
  ],
  "require": [
    "lower"
  ],
  "require_subset": {
    "count": 2,
    "options": [
      "symbols",
      "upper",
      "digits"
    ]
  }
}</t>
  </si>
  <si>
    <t>{
  "rules": [
    {
      "min_length": 8,
      "require": [
        "alphabet",
        "digits"
      ]
    },
    {
      "min_length": 15
    }
  ]
}</t>
  </si>
  <si>
    <t>{
  "charsets": {
    "symbols": "!#$%&amp;()*+,-.:&lt;=&gt;?@[]_`{|}~"
  },
  "rules": [
    {
      "min_length": 8,
      "prohibited_substrings": [
        "mywebsite"
      ],
      "charset_requirements": {
        "lower": {
          "min_required": 1
        },
        "upper": {
          "min_required": 1
        },
        "symbols": {
          "min_required": 2
        }
      }
    }
  ]
}</t>
  </si>
  <si>
    <t>I liked the power it gives the policy writer.</t>
  </si>
  <si>
    <t>Character control felt a little confusing.</t>
  </si>
  <si>
    <t>I think there could be better documentation for different character regulation scenarios, I had to trial and error a couple of the questions quite a few times to get it just right.</t>
  </si>
  <si>
    <t>{
  "min_length": 8,
  "require_subset": {
    "count": 2,
    "options": [
      "symbols",
      "upper",
      "digits",
      "lower"
    ]
  }
}</t>
  </si>
  <si>
    <t>{
  "min_length": 12,
  "prohibited_substrings": [
    " "
  ],
  "require": [
    "digits"
  ],
  "require_subset": {
    "count": 1,
    "options": [
      "upper",
      "lower"
    ]
  }
}</t>
  </si>
  <si>
    <t>{
  "min_length": 8,
  "prohibited_substrings": [
    "/",
    "\\",
    "mywebsite",
    "'",
    ";",
    "^",
    " ",
    "\""
  ],
  "charset_requirements": {
    "symbols": {
      "min_required": 2
    },
    "lower": {
      "min_required": 1
    },
    "upper": {
      "min_required": 1
    }
  }
}</t>
  </si>
  <si>
    <t xml:space="preserve">The documentation is very well laid out and easy to understand. I enjoy the ease of use of the program. It's easy to follow make configurations for complex password configurations. </t>
  </si>
  <si>
    <t xml:space="preserve">I didn't quite understand why or when it's necessary to switch between "pcp = PCP()" and "pcp = SimplePCP()". </t>
  </si>
  <si>
    <t xml:space="preserve">{
  "min_length": 8,
  "require_subset": {
    "count": 2,
    "options": [
      "upper",
      "digits",
      "symbols",
      "lower"
    ]
  }
}
</t>
  </si>
  <si>
    <t xml:space="preserve">{
  "charsets": {
    "symbols": "!\"#$%&amp;\\'()*+,-./:;?@[]^_`[|]~"
  },
  "rules": [
    {
      "min_length": 12,
      "require": [
        "alphabet",
        "digits"
      ]
    }
  ]
}
</t>
  </si>
  <si>
    <t xml:space="preserve">{
  "rules": [
    {
      "min_length": 8,
      "require": [
        "alphabet",
        "digits"
      ]
    },
    {
      "min_length": 15
    }
  ]
}
</t>
  </si>
  <si>
    <t>new documentation is very straightforward. example code snippets are useful for getting started and making quick modifications. also, adding support for older python version allowing me to use lab machines was nice.</t>
  </si>
  <si>
    <t>there was some confusion on the difference in when to use the simple and more complex PCP structures.</t>
  </si>
  <si>
    <t>again, new documentation looks great! made it a lot easier this time around, haha (especially since i wasn't generating json by hand).</t>
  </si>
  <si>
    <t>{
  "min_length": 8,
  "require_subset": {
    "count": 2,
    "options": [
      "symbols",
      "upper",
      "lower",
      "digits"
    ]
  }
}</t>
  </si>
  <si>
    <t>{
  "charsets": {
    "symbols": "!\"#$%&amp;'()*+,-./:;&lt;=&gt;?@[\\]^_`{|}~"
  },
  "rules": [
    {
      "min_length": 12,
      "require": [
        "digits",
        "alphabet"
      ]
    }
  ]
}</t>
  </si>
  <si>
    <t>{
  "charsets": {
    "symbols": "!#$%&amp;()*+,-.:&lt;=&gt;?@[]_`{|}~"
  },
  "rules": [
    {
      "min_length": 8,
      "prohibited_substrings": [
        "mywebsite"
      ],
      "require": [
        "upper",
        "lower"
      ],
      "charset_requirements": {
        "symbols": {
          "min_required": 2
        }
      }
    }
  ]
}</t>
  </si>
  <si>
    <t>Very concise and helpful documentation is great for enabling a new user to make simple or complex password policies.</t>
  </si>
  <si>
    <t>Some of the error messages were slightly unclear, but nothing major.</t>
  </si>
  <si>
    <t>{
  "min_length": 8,
  "require_subset": {
    "count": 2,
    "options": [
     "upper",
    "lower",
    "digits",
    "symbols"
    ]
  }
}</t>
  </si>
  <si>
    <t xml:space="preserve">{
  "charsets": {
    "symbols": "!\"#$%&amp;'()*+,-./:;&lt;=&gt;?@[\\]^_`{|}~"
  },
  "rules": [
    {
      "min_length": 12,
      "require": [
        "digits",
        "alphabet"
      ]
    }
  ]
}
</t>
  </si>
  <si>
    <t xml:space="preserve">{
  "rules": [
    {
      "min_length": 8,
      "require": [
        "digits",
        "alphabet"
      ]
    },
    {
      "min_length": 15
    }
  ]
}
</t>
  </si>
  <si>
    <t xml:space="preserve">{
  "charsets": {
    "symbols": "!#$%&amp;()*+,-.:&lt;=&gt;?@[]_`{|}~"
  },
  "rules": [
    {
      "min_length": 8,
      "prohibited_substrings": [
        "mywebsite"
      ],
      "require": [
        "lower",
        "upper"
      ],
      "charset_requirements": {
        "symbols": {
          "min_required": 2
        }
      }
    }
  ]
}
</t>
  </si>
  <si>
    <t>It made it far easier to generate more complicated password policies, granted you knew how to use it.</t>
  </si>
  <si>
    <t>Small details like PCPCharsetRequirements vs PCPSubsetRequirements had me confused for a bit, but then I caught on.</t>
  </si>
  <si>
    <t>No</t>
  </si>
  <si>
    <t>{
  "min_length": 8,
  "require_subset": {
    "count": 2,
    "options": [
      "lower",
      "digits",
      "symbols",
      "upper"
    ]
  }
}</t>
  </si>
  <si>
    <t>{
  "charsets": {
    "symbols": "!\"#$%&amp;'()*+,-./:;&lt;=&gt;?@[\\]^_`{|}~"
  },
  "rules": [
    {
      "min_length": 12,
      "charset_requirements": {
        "alphabet": {
          "min_required": 1
        },
        "digits": {
          "min_required": 1
        },
        "symbols": {}
      }
    }
  ]
}</t>
  </si>
  <si>
    <t>{
  "charsets": {
    "symbols": "!#$%&amp;()*+,-.:&lt;=&gt;?@[]_`{|}~"
  },
  "rules": [
    {
      "min_length": 8,
      "prohibited_substrings": [
        "mywebsite"
      ],
      "charset_requirements": {
        "symbols": {
          "min_required": 2
        },
        "upper": {
          "min_required": 1
        },
        "lower": {
          "min_required": 1
        }
      }
    }
  ]
}</t>
  </si>
  <si>
    <t>I liked how easy it was with the SimplePCP.</t>
  </si>
  <si>
    <t>The inconsistency in syntax between PCP and SimplePCP made the usage unnecessarily cumbersome. SimplePCP should be able to use the "alphabet" charset. When removing characters, max_allowed should be able to restrict characters.</t>
  </si>
  <si>
    <t>As far as this survey goes, I feel like a lot of the questions were almost exactly like the documentation and the ones that were not were the only hard ones. Almost too similar</t>
  </si>
  <si>
    <t>PhD student</t>
  </si>
  <si>
    <t xml:space="preserve">{
  "min_length": 8,
  "max_length": 16,
  "prohibited_substrings": [
    "vols",
    "Vols",
    "utk",
    "UTK"
  ]
}
</t>
  </si>
  <si>
    <t>{
  "min_length": 8,
"prohibited_substrings": ["abcdefgh","00000","$$"]
}</t>
  </si>
  <si>
    <t>{
  "min_length": 12,
  "prohibited_substrings": [" ","abcdefghijklm","123456","ab"]
}</t>
  </si>
  <si>
    <t>{
"charsets": {
    "symbols": "!#$%&amp;()*+,-.:&lt;=&gt;?@[]_`{|}~"
  },
  "min_length": 8,
  "charset_requirements": {
    "lower": {
      "min_required": 1
    },
    "upper": {
      "min_required": 1
    },
    "symbols": {
      "min_required": 2
    }
  },
"prohibited_substrings": ["my"]
}</t>
  </si>
  <si>
    <t>It can generate random passwords with the requirements I pass.</t>
  </si>
  <si>
    <t>The need for coding to set the requirements.</t>
  </si>
  <si>
    <t>{
"min_length":8
}</t>
  </si>
  <si>
    <t>{
"min_length": 8,
"require_subset": {
"count": 2,
"options": ["upper", "lower","digits","symbols"]
}
}</t>
  </si>
  <si>
    <t>{
"min_length":12,
"require": [
"alphabet",
"digits"
],
"prohibited_substrings": [
" "
]
}</t>
  </si>
  <si>
    <t>{
"rules": [
{
"min_length": 8,
"require": [
"alphabet",
"digits"]
},
{
"min_length": 15
}
]
}</t>
  </si>
  <si>
    <t xml:space="preserve">{
 "min_length": 8,
 "require": ["upper","lower"],
 "charset_requirements": {
 "symbols": {"min_required": 2}
 },
"prohibited_substrings": [
" ",
"mywebsite"]
}
</t>
  </si>
  <si>
    <t>The ease of implementing the password policy using library</t>
  </si>
  <si>
    <t>No particular thing I disliked about it</t>
  </si>
  <si>
    <t>Looks super helpful to implement password policies using this library</t>
  </si>
  <si>
    <t>{
    "min_length": 8
}</t>
  </si>
  <si>
    <t>{
    "min_length": 8,
    "require_subset": {
        "count": 2,
        "options": [
            "upper", 
            "lower", 
            "digits", 
            "symbols"
        ]
    }
}</t>
  </si>
  <si>
    <t>{
    "min_length": 12,
    "charset_requirements": {
        "alphabet": {
            "min_required": 1
        },
        "digits": {
            "min_required": 1
        }
    },
    "prohibited_substrings": [" "]
}</t>
  </si>
  <si>
    <t>{
    "rules": [
        {
            "min_length": 8,
            "require": [
                "alphabet",
                "digits"
             ]
        },
        {
            "min_length": 15
        }
    ]
}</t>
  </si>
  <si>
    <t xml:space="preserve">{
    "min_length": 8,
    "require": ["upper", "lower"],
    "prohibited_substrings": [" ", "^", "'","\"",";","\\", "mywebsite"],
    "charset_requirements": {
        "symbols": {
            "min_required": 2
        }
    }
}
</t>
  </si>
  <si>
    <t>I liked the overall system and its ease of use. I could easily create a password policy after reading the documentation. The documentation was pretty straightforward.</t>
  </si>
  <si>
    <t>I didn't use the library because I feel like it's a bit of work than just writing it in a JSON file. So, maybe there is a way to make the python library easier to use.</t>
  </si>
  <si>
    <t>{
  "charsets": {
    "symbols": "!#$%&amp;()*+,-.:&lt;=&gt;?@[]_`{|}~"
  },
  "rules": [
    {
      "min_length": 8,
      "require": [
        "upper",
        "lower"
        ],
      "charset_requirements": {
"symbols": {
      "min_required": 2
    }},
      "prohibited_substrings": [
       "mywebsite"
       ]
     }
    ]
}</t>
  </si>
  <si>
    <t>I liked how simply we can specify rules for password policy using this library.</t>
  </si>
  <si>
    <t>I was using "numbers" in places of "digits" in some of the questions. I felt using "number" to specify the number input might be easier.</t>
  </si>
  <si>
    <t>{
  "min_length": 8,
  "require_subset": {
    "count": 2,
    "options": [
      "lower",
      "upper",
      "symbols",
      "digits"
    ]
  }
}</t>
  </si>
  <si>
    <t>{
  "min_length": 12,
  "require": [
    "alphabet",
    "digits"
  ],
  "prohibited_substrings": [
    " "
  ]
}</t>
  </si>
  <si>
    <t>{
  "min_length": 8,
  "charsets": {
    "symbols": "!#$%&amp;()*+,-.:&lt;=&gt;?@[]_`{|}~"
  },
  "charset_requirements": {
    "lower": {
      "min_required": 1
    },
    "upper": {
      "min_required": 1
    },
    "symbols": {
      "min_required": 2
    }
  }
  "prohibited_substrings": [
        " ",
        "mywebsite"
      ]
}</t>
  </si>
  <si>
    <t>Character sets could be constructed easily with length restrictions.</t>
  </si>
  <si>
    <t xml:space="preserve">It gets complicated with multiple rules. The difference between simplepcp and other pcp functions is not evident. </t>
  </si>
  <si>
    <t>{
  "charsets": {
    "symbols": "!\"#$%&amp;'()*+,-./:;&lt;=&gt;?@[\\]^_`{|}~"
  },
  "rules": [
    {
      "min_length": 12,
      "charset_requirements": {
        "alphabet": {
          "min_required": 1
        },
        "digits": {
          "min_required": 1
        }
      }
    }
  ]
}</t>
  </si>
  <si>
    <t>{
  "rules": [
    {
      "min_length": 8,
      "charset_requirements": {
        "alphabet": {
          "min_required": 1
        },
        "digits": {
          "min_required": 1
        }
      }
    },
    {
      "min_length": 15
    }
  ]
}</t>
  </si>
  <si>
    <t>{
  "min_length": 8,
  "prohibited_substrings": [
    "mywebsite"
  ],
  "charset_requirements": {
    "lower": {
      "min_required": 1
    },
    "upper": {
      "min_required": 1
    },
    "symbols": {
      "min_required": 2
    }
  }
}</t>
  </si>
  <si>
    <t>The system is well documented and the code is well written and modular.</t>
  </si>
  <si>
    <t>Too much modularity makes it somewhat difficult. Might need some sort of technical document.</t>
  </si>
  <si>
    <t>Modularity of the system</t>
  </si>
  <si>
    <t>Needed some learning before I could properly use it</t>
  </si>
  <si>
    <t>I think the system does need some learning before starting and is extremely modular whic introduces extra complexity. However, overall the system is quite good.</t>
  </si>
  <si>
    <t>{
  "min_length": 8,
  "require_subset": {
    "count": 2,
    "options": [
      "upper",
      "symbols",
      "digits",
      "lower"
    ]
  }
}</t>
  </si>
  <si>
    <t>{
  "charsets": {
    "symbols": "!\"#$%&amp;'()*+,-./:;&lt;=&gt;?@[\\]^_`{|}~."
  },
  "rules": [
    {
      "min_length": 12,
      "require": [
        "alphabet",
        "digits"
      ]
    }
  ]
}</t>
  </si>
  <si>
    <t>Ease of use with the programming knowledge</t>
  </si>
  <si>
    <t>Unnecessary overload for the normal JSON rules.</t>
  </si>
  <si>
    <t>{
  "min_length": 8,
  "require_subset": {
    "count": 2,
    "options": ["lower",
      "upper",
      "symbols",
      "digits"
    ]
  }
}</t>
  </si>
  <si>
    <t>{
  "min_length": 8,
  "require": ["upper", "lower"],
  "prohibited_substrings": [" ", "^", "'", "\"", ";", "/", "\\", "mywebsite"],
  "charset_requirements": {
    "symbols": {
      "min_required": 2
    }
  }
}</t>
  </si>
  <si>
    <t>It is a better alternative to generate password policies.</t>
  </si>
  <si>
    <t>N/A</t>
  </si>
  <si>
    <t>Comparing below mentioned two JSON the second one is not accepted by the system. Even though basically the two JSON are the same, except the placement for "prohibited_substrings"
.........................................
{
  "min_length": 8,
  "require": ["upper", "lower"],
  "prohibited_substrings": [" ", "^", "'", "\"", ";", "/", "\\", "mywebsite"],
  "charset_requirements": {
    "symbols": {
      "min_required": 2
    }
  }
}
...................................................
{
  "min_length": 8,
  "require": ["upper", "lower"],
   "charset_requirements": {
    "symbols": {
      "min_required": 2
    },
  "prohibited_substrings": [" ", "^", "'", "\"", ";", "/", "\\", "mywebsite"]
  }
}</t>
  </si>
  <si>
    <t>from password_policy.data import \
  PCP, PCPRule, PCPCharsetRequirement
pcp = PCP([PCPRule(
  charset_requirements = {
    "lower": PCPCharsetRequirement(
      min_required = 1
    ),
    "upper": PCPCharsetRequirement(
      min_required = 1
    ),
    "symbols": PCPCharsetRequirement(
      prohibited_locations = [0, -1]
    )
  }
)])
print(pcp.dumps(indent=2))</t>
  </si>
  <si>
    <t>{
  "min_length": 2,
  "require": [
    "lower"
  ],
  "require_subset": {
    "count": 2,
    "options": [
      "upper",
      "symbols",
      "digits"
    ]
  }</t>
  </si>
  <si>
    <t>{
  "charsets": {
    "symbols": "!"#$%&amp;\'()*+,-./:;?@[\\]^_`{|}~)"
  },
  "rules": [
    {
      "min_length": 12,
      "require": [
        "alphabet",
        "symbols", "digits"
      ]
    }
  ]
}</t>
  </si>
  <si>
    <t>{
  "rules": [
    {
      "min_length": 1,
      "require": [
        "digits",
        "alphabet"
      ]
    },
    {
      "min_length": 8
    }
    {
      "min_length": 15
    }
  ]
}</t>
  </si>
  <si>
    <t>{
  "min_length": 8,
  "prohibited_substrings": ['mywebsite']
  "charset_requirements": {
    "lower": {
      "min_required": 1
    },
    "upper": {
      "min_required": 1
    },
    "symbols": "!#$%&amp;()*+,-.:&lt;=&gt;?@[]_`{|}~"{
      "min_required": 2
    }
}</t>
  </si>
  <si>
    <t>The auto generated json can be useful for complex password policies without having ever dealt with JSON</t>
  </si>
  <si>
    <t>I think it's a great library, but maybe the documentation itself could be more descriptive and have more than one example for each case.</t>
  </si>
  <si>
    <t xml:space="preserve">
{
  "min_length": 8
}</t>
  </si>
  <si>
    <t xml:space="preserve">{
  "rules": [
    {
      "min_length": 8,
      "require": [
        "lower",
        "upper"
      ]
    },
    {
      "min_length": 8,
      "require": [
        "digits",
        "upper"
      ]
    },
    {
      "min_length": 8,
      "require": [
        "symbols",
        "upper"
      ]
    },
    {
      "min_length": 8,
      "require": [
        "lower",
        "digits"
      ]
    },
    {
      "min_length": 8,
      "require": [
        "lower",
        "symbols"
      ]
    },
    {
      "min_length": 8,
      "require": [
        "symbols",
        "digits"
      ]
    }
  ]
}
</t>
  </si>
  <si>
    <t>{
  "min_length": 12,
  "prohibited_substrings": [
    " "
  ],
  "require": [
    "digits"
  ],
  "require_subset": {
    "count": 1,
    "options": [
      "lower",
      "upper"
    ]
  }
}</t>
  </si>
  <si>
    <t xml:space="preserve">{
  "charsets": {
    "symbols": "!#$%&amp;()*+,-.:&lt;=&gt;?@[]_`{|}~"
  },
  "rules": [
    {
      "min_length": 8,
      "prohibited_substrings": [
        "mywebsite"
      ],
      "charset_requirements": {
        "symbols": {
          "min_required": 2
        },
        "lower": {
          "min_required": 1
        },
        "upper": {
          "min_required": 1
        }
      }
    }
  ]
}
</t>
  </si>
  <si>
    <t xml:space="preserve">The library is well-written, and straight-forward. The examples help a lot. Syntax actually makes sense, which I am grateful for. </t>
  </si>
  <si>
    <t xml:space="preserve">I was confused at first on the different features of a password, like the requirements for setting charsets and rules vs the actual PCPRule where things like prohibited_substrings can be specified. Having a small section explaining the difference of these could help. After I understood this, there wasn't many problems I encountered. </t>
  </si>
  <si>
    <t>{
  "min_length": 8,
  "require_subset": {
    "count": 2,
    "options": [
      "digits",
      "symbols",
      "upper",
      "lower"
    ]
  }
}</t>
  </si>
  <si>
    <t>It's easy to use and well documented</t>
  </si>
  <si>
    <t>I didn't get why we needed two sets of charsets</t>
  </si>
  <si>
    <t>I guess not</t>
  </si>
  <si>
    <t xml:space="preserve">{
  "min_length": 8,
  "require_subset": {
    "count": 2,
    "options": [
      "upper",
      "lower",
      "digits",
      "symbols"
    ]
  }
}
</t>
  </si>
  <si>
    <t xml:space="preserve">
{
  "charsets": {
    "symbols": "!\"#$%&amp;'()*+,-./:;&lt;=&gt;?@[\\]^_`{|}~"
  },
  "rules": [
    {
      "min_length": 12,
      "require": [
        "alphabet",
        "digits"
      ]
    }
  ]
}
</t>
  </si>
  <si>
    <t xml:space="preserve">
{
  "rules": [
    {
      "min_length": 8,
      "require": [
        "alphabet",
        "digits"
      ]
    },
    {
      "min_length": 15
    }
  ]
}
</t>
  </si>
  <si>
    <t xml:space="preserve">{
  "min_length": 8,
  "prohibited_substrings": [
    "mywebsite"
  ],
  "charset_requirements": {
    "lower": {
      "min_required": 1
    },
    "upper": {
      "min_required": 1
    },
    "symbols": {
      "min_required": 2
    }
  }
}
</t>
  </si>
  <si>
    <t>The support documents were much appreciated.</t>
  </si>
  <si>
    <t>It seemed to be a bit inconsistent with how character requirements worked. In particular, I had trouble doing "require = ['upper', 'lower']" as a PCPRule, and the inability to use 'upper' and 'lower' for charset_requirements seemed odd to me (see note in feedback).</t>
  </si>
  <si>
    <t>It seemed like for the last question (where you were meant to make the charset_requirements specify a requirement of 1 lower, 1 upper, and 2 symbols) did not work correctly, as I got the error:
ValueError: rules[0].charset_requirements[lower] is not a valid charset. Valid charset are {'symbols', 'digits', 'alphabet'}.
I am not entirely sure if this is an oversight, but if it is not, it did feel a bit unintuitive.</t>
  </si>
  <si>
    <t>{
  "min_length": 8,
  "require_subset": {
    "count": 2,
    "options": [
      "symbols",
      "lower",
      "upper",
      "digits"
    ]
  }
}</t>
  </si>
  <si>
    <t>{
  "charsets": {
    "symbols": "!\"#$%&amp;'()*+,-./:;&lt;=&gt;?@[\\]^_`{|}~"
  },
  "rules": [
    {
      "min_length": 12,
      "require": [
        "symbols",
        "alphabet",
        "digits"
      ]
    }
  ]
}</t>
  </si>
  <si>
    <t xml:space="preserve">The ease to use the password policy creation </t>
  </si>
  <si>
    <t>Documentation could be more organized</t>
  </si>
  <si>
    <t>{
  "rules": [
    {
      "min_length": 8,
      "require": [
        "digits"
      ],
      "require_subset": {
        "count": 1,
        "options": [
          "upper",
          "lower"
        ]
      }
    },
    {
      "min_length": 15
    }
  ]
}</t>
  </si>
  <si>
    <t>{
  "min_length": 8,
  "prohibited_substrings": [
    "/",
    "^",
    "\"",
    "'",
    ";",
    "\\",
    "mywebsite",
    " "
  ],
  "charset_requirements": {
    "symbols": {
      "min_required": 2
    },
    "upper": {
      "min_required": 1
    },
    "lower": {
      "min_required": 1
    }
  }
}</t>
  </si>
  <si>
    <t>I like that there is not an extreme amount of complexity as far as available options and functions.</t>
  </si>
  <si>
    <t xml:space="preserve">It seemed like the different functions and classes don't mesh together very well. </t>
  </si>
  <si>
    <t>I don't understand the purpose of SimplePCP(). I feel like the password library should be easy enough to use already that it's not necessary to provide an even simpler version with different configuration options. It makes it hard to upgrade later to a more complex system. The PCP() class isn't very hard to write so I don't think SimplePCP() is necessary- it just confused me.
Some things were not intuitive. For example, you can't use `required` inside a PCPRule(), which doesn't make sense.</t>
  </si>
  <si>
    <t>SUS Lookup</t>
  </si>
  <si>
    <t>Negative</t>
  </si>
  <si>
    <t>Positive</t>
  </si>
  <si>
    <t>SUS</t>
  </si>
  <si>
    <t>Duration
(in minutes)</t>
  </si>
  <si>
    <t>Install
(in minutes)</t>
  </si>
  <si>
    <t>Library
version</t>
  </si>
  <si>
    <t>Class standing</t>
  </si>
  <si>
    <t>Major</t>
  </si>
  <si>
    <t>Gender</t>
  </si>
  <si>
    <t>Policy 1
Timing</t>
  </si>
  <si>
    <t>Documentation
Timing</t>
  </si>
  <si>
    <t>Policy 1
Correct</t>
  </si>
  <si>
    <t>Policy 1
Text</t>
  </si>
  <si>
    <t>Policy 1
Method</t>
  </si>
  <si>
    <t>Manual</t>
  </si>
  <si>
    <t>Generated</t>
  </si>
  <si>
    <t>Policy 1
ASQ</t>
  </si>
  <si>
    <t>Policy 2
Timing</t>
  </si>
  <si>
    <t>Policy 2
Correct</t>
  </si>
  <si>
    <t>ID</t>
  </si>
  <si>
    <t>R1</t>
  </si>
  <si>
    <t>R7</t>
  </si>
  <si>
    <t>R3</t>
  </si>
  <si>
    <t>R2</t>
  </si>
  <si>
    <t>R4</t>
  </si>
  <si>
    <t>R5</t>
  </si>
  <si>
    <t>R6</t>
  </si>
  <si>
    <t>R8</t>
  </si>
  <si>
    <t>R9</t>
  </si>
  <si>
    <t>R10</t>
  </si>
  <si>
    <t>R11</t>
  </si>
  <si>
    <t>R12</t>
  </si>
  <si>
    <t>R13</t>
  </si>
  <si>
    <t>R14</t>
  </si>
  <si>
    <t>R15</t>
  </si>
  <si>
    <t>R16</t>
  </si>
  <si>
    <t>R17</t>
  </si>
  <si>
    <t>R18</t>
  </si>
  <si>
    <t>R19</t>
  </si>
  <si>
    <t>R20</t>
  </si>
  <si>
    <t>R21</t>
  </si>
  <si>
    <t>R22</t>
  </si>
  <si>
    <t>R23</t>
  </si>
  <si>
    <t>R24</t>
  </si>
  <si>
    <t>R25</t>
  </si>
  <si>
    <t>Policy 2
Text</t>
  </si>
  <si>
    <t>Policy 3
Text</t>
  </si>
  <si>
    <t>Policy 4
Text</t>
  </si>
  <si>
    <t>Policy 5
Text</t>
  </si>
  <si>
    <t>Policy 2
Method</t>
  </si>
  <si>
    <t>Policy 2
ASQ</t>
  </si>
  <si>
    <t>Policy 3
Timing</t>
  </si>
  <si>
    <t>Policy 3
Correct</t>
  </si>
  <si>
    <t>Policy 3
Method</t>
  </si>
  <si>
    <t>Policy 3
ASQ</t>
  </si>
  <si>
    <t>Policy 4
Timing</t>
  </si>
  <si>
    <t>Policy 4
Correct</t>
  </si>
  <si>
    <t>Policy 4
Method</t>
  </si>
  <si>
    <t>Policy 4
ASQ</t>
  </si>
  <si>
    <t>Liked best</t>
  </si>
  <si>
    <t>Disliked most</t>
  </si>
  <si>
    <t>Compared to regular expressions</t>
  </si>
  <si>
    <t>Compared to programming</t>
  </si>
  <si>
    <t>Other feedback</t>
  </si>
  <si>
    <t>Policy 5
Timing</t>
  </si>
  <si>
    <t>Policy 5
Correct</t>
  </si>
  <si>
    <t>Policy 5
Method</t>
  </si>
  <si>
    <t>Policy 5
ASQ</t>
  </si>
  <si>
    <t>Other comments</t>
  </si>
  <si>
    <t>Policy 1
Parses</t>
  </si>
  <si>
    <t>Policy 3
Parses</t>
  </si>
  <si>
    <t>Policy 2
Parses</t>
  </si>
  <si>
    <t>Policy 4
Parses</t>
  </si>
  <si>
    <t>Policy 5
Parses</t>
  </si>
  <si>
    <t>Policy R10:P5 failed to parse: __init__() got an unexpected keyword argument 'charsets'</t>
  </si>
  <si>
    <t>Policy R14:P5 failed to parse: Expecting ',' delimiter: line 17 column 3 (char 259)</t>
  </si>
  <si>
    <t>Policy R19:P5 failed to parse: Expecting value: line 3 column 29 (char 49)</t>
  </si>
  <si>
    <t>Policy R20:P2 failed to parse: Expecting ',' delimiter: line 13 column 4 (char 164)</t>
  </si>
  <si>
    <t>Policy R20:P3 failed to parse: Expecting ',' delimiter: line 3 column 19 (char 36)</t>
  </si>
  <si>
    <t>Policy R20:P4 failed to parse: Expecting ',' delimiter: line 13 column 5 (char 153)</t>
  </si>
  <si>
    <t>Stats</t>
  </si>
  <si>
    <t>JSON errors (6)</t>
  </si>
  <si>
    <t>Completely incorrect (4)</t>
  </si>
  <si>
    <t>R11:P1 is incorrect: policy pasted from the website, unrelated to the task</t>
  </si>
  <si>
    <t>R11:P2 is incorrect: random guess unrelated to the task</t>
  </si>
  <si>
    <t>R11:P3 is incorrect: random guess unrelated to the task</t>
  </si>
  <si>
    <t>Small mistakes (10)</t>
  </si>
  <si>
    <t>R5:P3 is incorrect: incorrectly handling require options (similar to R20:P2)</t>
  </si>
  <si>
    <t>R24:P3 is incorrect: added a requirement for digits; reusing previous tasks JSON</t>
  </si>
  <si>
    <t>R3:P4 is incorrect: added a requirement to prohibit spaces; reusing previous tasks JSON</t>
  </si>
  <si>
    <t>R5:P5 is incorrect: missed prohibiting whitespace</t>
  </si>
  <si>
    <t>R11:P5 is incorrect: missed prohibited characters</t>
  </si>
  <si>
    <t>R15:P5 is incorrect: missed prohibiting characters</t>
  </si>
  <si>
    <t>R16:P5 is incorrect: missed prohibiting characters</t>
  </si>
  <si>
    <t>R17:P5 is incorrect: missed prohibiting characters</t>
  </si>
  <si>
    <t>R22:P5 is incorrect: missed prohibiting characters</t>
  </si>
  <si>
    <t>R23:P5 is incorrect: missed prohibiting characters</t>
  </si>
  <si>
    <t>R20:P1 is incorrect: policy pasted from the website, unrelated to the task</t>
  </si>
  <si>
    <t>Total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</si>
</sst>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color rgb="FF000000"/>
      <name val="Courier New"/>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applyAlignment="1">
      <alignment wrapText="1"/>
    </xf>
    <xf numFmtId="0" fontId="16" fillId="0" borderId="0" xfId="0" applyFont="1"/>
    <xf numFmtId="0" fontId="0" fillId="0" borderId="0" xfId="0" applyAlignment="1"/>
    <xf numFmtId="2" fontId="0" fillId="0" borderId="0" xfId="0" applyNumberFormat="1" applyAlignment="1"/>
    <xf numFmtId="0" fontId="19" fillId="0" borderId="0" xfId="0" applyFont="1" applyAlignment="1">
      <alignment horizontal="left" vertical="center"/>
    </xf>
    <xf numFmtId="2" fontId="16" fillId="0" borderId="0" xfId="0" applyNumberFormat="1" applyFont="1" applyAlignment="1"/>
    <xf numFmtId="1" fontId="16" fillId="0" borderId="0" xfId="0" applyNumberFormat="1" applyFont="1" applyAlignment="1"/>
    <xf numFmtId="10" fontId="16" fillId="0" borderId="0" xfId="0" applyNumberFormat="1" applyFont="1"/>
    <xf numFmtId="0" fontId="16" fillId="0" borderId="0" xfId="0" applyFont="1" applyAlignment="1"/>
    <xf numFmtId="0" fontId="16" fillId="0" borderId="0" xfId="0" applyFont="1" applyAlignment="1">
      <alignment wrapText="1"/>
    </xf>
    <xf numFmtId="2" fontId="16"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29"/>
  <sheetViews>
    <sheetView tabSelected="1" topLeftCell="B1" zoomScale="85" zoomScaleNormal="85" workbookViewId="0">
      <pane xSplit="1" ySplit="1" topLeftCell="C7" activePane="bottomRight" state="frozen"/>
      <selection activeCell="B1" sqref="B1"/>
      <selection pane="topRight" activeCell="C1" sqref="C1"/>
      <selection pane="bottomLeft" activeCell="B2" sqref="B2"/>
      <selection pane="bottomRight" activeCell="Z28" sqref="Z28"/>
    </sheetView>
  </sheetViews>
  <sheetFormatPr defaultRowHeight="15" x14ac:dyDescent="0.25"/>
  <cols>
    <col min="1" max="1" width="50.7109375" hidden="1" customWidth="1"/>
    <col min="2" max="2" width="5.28515625" bestFit="1" customWidth="1"/>
    <col min="3" max="3" width="11.85546875" bestFit="1" customWidth="1"/>
    <col min="4" max="4" width="11.85546875" customWidth="1"/>
    <col min="5" max="8" width="50.7109375" hidden="1" customWidth="1"/>
    <col min="9" max="9" width="7.5703125" bestFit="1" customWidth="1"/>
    <col min="10" max="10" width="13.5703125" bestFit="1" customWidth="1"/>
    <col min="11" max="11" width="21.140625" bestFit="1" customWidth="1"/>
    <col min="12" max="12" width="7.5703125" bestFit="1" customWidth="1"/>
    <col min="13" max="13" width="14.85546875" bestFit="1" customWidth="1"/>
    <col min="14" max="17" width="50.7109375" hidden="1" customWidth="1"/>
    <col min="18" max="18" width="7.7109375" bestFit="1" customWidth="1"/>
    <col min="19" max="22" width="50.7109375" hidden="1" customWidth="1"/>
    <col min="23" max="23" width="7.7109375" hidden="1" customWidth="1"/>
    <col min="24" max="24" width="7.7109375" bestFit="1" customWidth="1"/>
    <col min="25" max="25" width="10.42578125" bestFit="1" customWidth="1"/>
    <col min="26" max="26" width="10.42578125" customWidth="1"/>
    <col min="27" max="29" width="50.7109375" hidden="1" customWidth="1"/>
    <col min="30" max="30" width="7.7109375" bestFit="1" customWidth="1"/>
    <col min="31" max="34" width="50.7109375" hidden="1" customWidth="1"/>
    <col min="35" max="35" width="7.7109375" hidden="1" customWidth="1"/>
    <col min="36" max="36" width="7.7109375" bestFit="1" customWidth="1"/>
    <col min="37" max="37" width="10.42578125" bestFit="1" customWidth="1"/>
    <col min="38" max="38" width="10.42578125" customWidth="1"/>
    <col min="39" max="41" width="50.7109375" hidden="1" customWidth="1"/>
    <col min="42" max="42" width="7.7109375" bestFit="1" customWidth="1"/>
    <col min="43" max="46" width="50.7109375" hidden="1" customWidth="1"/>
    <col min="47" max="47" width="7.7109375" hidden="1" customWidth="1"/>
    <col min="48" max="48" width="8.28515625" bestFit="1" customWidth="1"/>
    <col min="49" max="49" width="10.42578125" bestFit="1" customWidth="1"/>
    <col min="50" max="50" width="7.7109375" bestFit="1" customWidth="1"/>
    <col min="51" max="53" width="50.7109375" hidden="1" customWidth="1"/>
    <col min="54" max="54" width="7.7109375" bestFit="1" customWidth="1"/>
    <col min="55" max="58" width="50.7109375" hidden="1" customWidth="1"/>
    <col min="59" max="59" width="7.7109375" hidden="1" customWidth="1"/>
    <col min="60" max="60" width="8.28515625" bestFit="1" customWidth="1"/>
    <col min="61" max="61" width="10.42578125" bestFit="1" customWidth="1"/>
    <col min="62" max="62" width="10.42578125" customWidth="1"/>
    <col min="63" max="65" width="50.7109375" hidden="1" customWidth="1"/>
    <col min="66" max="66" width="7.7109375" bestFit="1" customWidth="1"/>
    <col min="67" max="70" width="50.7109375" hidden="1" customWidth="1"/>
    <col min="71" max="71" width="7.7109375" hidden="1" customWidth="1"/>
    <col min="72" max="72" width="8.28515625" bestFit="1" customWidth="1"/>
    <col min="73" max="73" width="10.42578125" bestFit="1" customWidth="1"/>
    <col min="74" max="74" width="10.42578125" customWidth="1"/>
    <col min="75" max="87" width="50.7109375" hidden="1" customWidth="1"/>
    <col min="88" max="88" width="7.42578125" bestFit="1" customWidth="1"/>
    <col min="89" max="89" width="10.5703125" customWidth="1"/>
    <col min="90" max="92" width="75.7109375" customWidth="1"/>
  </cols>
  <sheetData>
    <row r="1" spans="1:92" ht="45" x14ac:dyDescent="0.25">
      <c r="A1" s="3" t="s">
        <v>0</v>
      </c>
      <c r="B1" s="9" t="s">
        <v>239</v>
      </c>
      <c r="C1" s="10" t="s">
        <v>223</v>
      </c>
      <c r="D1" s="10" t="s">
        <v>224</v>
      </c>
      <c r="E1" s="9" t="s">
        <v>1</v>
      </c>
      <c r="F1" s="9" t="s">
        <v>2</v>
      </c>
      <c r="G1" s="9" t="s">
        <v>3</v>
      </c>
      <c r="H1" s="9" t="s">
        <v>4</v>
      </c>
      <c r="I1" s="10" t="s">
        <v>225</v>
      </c>
      <c r="J1" s="9" t="s">
        <v>226</v>
      </c>
      <c r="K1" s="9" t="s">
        <v>227</v>
      </c>
      <c r="L1" s="9" t="s">
        <v>228</v>
      </c>
      <c r="M1" s="10" t="s">
        <v>230</v>
      </c>
      <c r="N1" s="9" t="s">
        <v>5</v>
      </c>
      <c r="O1" s="9" t="s">
        <v>6</v>
      </c>
      <c r="P1" s="9" t="s">
        <v>7</v>
      </c>
      <c r="Q1" s="9" t="s">
        <v>8</v>
      </c>
      <c r="R1" s="10" t="s">
        <v>229</v>
      </c>
      <c r="S1" s="9" t="s">
        <v>9</v>
      </c>
      <c r="T1" s="9" t="s">
        <v>10</v>
      </c>
      <c r="U1" s="9" t="s">
        <v>11</v>
      </c>
      <c r="V1" s="9" t="s">
        <v>12</v>
      </c>
      <c r="W1" s="10" t="s">
        <v>289</v>
      </c>
      <c r="X1" s="10" t="s">
        <v>231</v>
      </c>
      <c r="Y1" s="10" t="s">
        <v>233</v>
      </c>
      <c r="Z1" s="10" t="s">
        <v>236</v>
      </c>
      <c r="AA1" s="9" t="s">
        <v>13</v>
      </c>
      <c r="AB1" s="9" t="s">
        <v>14</v>
      </c>
      <c r="AC1" s="9" t="s">
        <v>15</v>
      </c>
      <c r="AD1" s="10" t="s">
        <v>237</v>
      </c>
      <c r="AE1" s="9" t="s">
        <v>16</v>
      </c>
      <c r="AF1" s="9" t="s">
        <v>17</v>
      </c>
      <c r="AG1" s="9" t="s">
        <v>18</v>
      </c>
      <c r="AH1" s="9" t="s">
        <v>19</v>
      </c>
      <c r="AI1" s="10" t="s">
        <v>291</v>
      </c>
      <c r="AJ1" s="10" t="s">
        <v>238</v>
      </c>
      <c r="AK1" s="10" t="s">
        <v>269</v>
      </c>
      <c r="AL1" s="10" t="s">
        <v>270</v>
      </c>
      <c r="AM1" s="9" t="s">
        <v>20</v>
      </c>
      <c r="AN1" s="9" t="s">
        <v>21</v>
      </c>
      <c r="AO1" s="9" t="s">
        <v>22</v>
      </c>
      <c r="AP1" s="10" t="s">
        <v>271</v>
      </c>
      <c r="AQ1" s="9" t="s">
        <v>23</v>
      </c>
      <c r="AR1" s="9" t="s">
        <v>24</v>
      </c>
      <c r="AS1" s="9" t="s">
        <v>25</v>
      </c>
      <c r="AT1" s="9" t="s">
        <v>26</v>
      </c>
      <c r="AU1" s="10" t="s">
        <v>290</v>
      </c>
      <c r="AV1" s="10" t="s">
        <v>272</v>
      </c>
      <c r="AW1" s="10" t="s">
        <v>273</v>
      </c>
      <c r="AX1" s="10" t="s">
        <v>274</v>
      </c>
      <c r="AY1" s="9" t="s">
        <v>27</v>
      </c>
      <c r="AZ1" s="9" t="s">
        <v>28</v>
      </c>
      <c r="BA1" s="9" t="s">
        <v>29</v>
      </c>
      <c r="BB1" s="10" t="s">
        <v>275</v>
      </c>
      <c r="BC1" s="9" t="s">
        <v>30</v>
      </c>
      <c r="BD1" s="9" t="s">
        <v>31</v>
      </c>
      <c r="BE1" s="9" t="s">
        <v>32</v>
      </c>
      <c r="BF1" s="9" t="s">
        <v>33</v>
      </c>
      <c r="BG1" s="10" t="s">
        <v>292</v>
      </c>
      <c r="BH1" s="10" t="s">
        <v>276</v>
      </c>
      <c r="BI1" s="10" t="s">
        <v>277</v>
      </c>
      <c r="BJ1" s="10" t="s">
        <v>278</v>
      </c>
      <c r="BK1" s="9" t="s">
        <v>34</v>
      </c>
      <c r="BL1" s="9" t="s">
        <v>35</v>
      </c>
      <c r="BM1" s="9" t="s">
        <v>36</v>
      </c>
      <c r="BN1" s="10" t="s">
        <v>284</v>
      </c>
      <c r="BO1" s="9" t="s">
        <v>37</v>
      </c>
      <c r="BP1" s="9" t="s">
        <v>38</v>
      </c>
      <c r="BQ1" s="9" t="s">
        <v>39</v>
      </c>
      <c r="BR1" s="9" t="s">
        <v>40</v>
      </c>
      <c r="BS1" s="10" t="s">
        <v>293</v>
      </c>
      <c r="BT1" s="10" t="s">
        <v>285</v>
      </c>
      <c r="BU1" s="10" t="s">
        <v>286</v>
      </c>
      <c r="BV1" s="10" t="s">
        <v>287</v>
      </c>
      <c r="BW1" s="9" t="s">
        <v>41</v>
      </c>
      <c r="BX1" s="9" t="s">
        <v>42</v>
      </c>
      <c r="BY1" s="9" t="s">
        <v>43</v>
      </c>
      <c r="BZ1" s="9" t="s">
        <v>44</v>
      </c>
      <c r="CA1" s="9" t="s">
        <v>45</v>
      </c>
      <c r="CB1" s="9" t="s">
        <v>46</v>
      </c>
      <c r="CC1" s="9" t="s">
        <v>47</v>
      </c>
      <c r="CD1" s="9" t="s">
        <v>48</v>
      </c>
      <c r="CE1" s="9" t="s">
        <v>49</v>
      </c>
      <c r="CF1" s="9" t="s">
        <v>50</v>
      </c>
      <c r="CG1" s="9" t="s">
        <v>51</v>
      </c>
      <c r="CH1" s="9" t="s">
        <v>52</v>
      </c>
      <c r="CI1" s="9" t="s">
        <v>53</v>
      </c>
      <c r="CJ1" s="10" t="s">
        <v>318</v>
      </c>
      <c r="CK1" s="9" t="s">
        <v>222</v>
      </c>
      <c r="CL1" s="9" t="s">
        <v>279</v>
      </c>
      <c r="CM1" s="9" t="s">
        <v>280</v>
      </c>
      <c r="CN1" s="9" t="s">
        <v>283</v>
      </c>
    </row>
    <row r="2" spans="1:92" ht="45" x14ac:dyDescent="0.25">
      <c r="A2" s="3">
        <v>3983</v>
      </c>
      <c r="B2" s="9" t="s">
        <v>240</v>
      </c>
      <c r="C2" s="4">
        <f>A2/60</f>
        <v>66.38333333333334</v>
      </c>
      <c r="D2" s="4">
        <f t="shared" ref="D2:D26" si="0">(G2-E2)/60</f>
        <v>24.771766666666668</v>
      </c>
      <c r="E2" s="3">
        <v>11.273</v>
      </c>
      <c r="F2" s="3">
        <v>1493.875</v>
      </c>
      <c r="G2" s="3">
        <v>1497.579</v>
      </c>
      <c r="H2" s="3">
        <v>31</v>
      </c>
      <c r="I2" s="3" t="s">
        <v>54</v>
      </c>
      <c r="J2" s="3" t="s">
        <v>55</v>
      </c>
      <c r="K2" s="3" t="s">
        <v>56</v>
      </c>
      <c r="L2" s="3" t="s">
        <v>57</v>
      </c>
      <c r="M2" s="4">
        <f t="shared" ref="M2:M26" si="1">(P2-N2)/60</f>
        <v>0.62171666666666658</v>
      </c>
      <c r="N2" s="3">
        <v>1.8049999999999999</v>
      </c>
      <c r="O2" s="3">
        <v>38.192</v>
      </c>
      <c r="P2" s="3">
        <v>39.107999999999997</v>
      </c>
      <c r="Q2" s="3">
        <v>15</v>
      </c>
      <c r="R2" s="4">
        <f t="shared" ref="R2:R26" si="2">(U2-S2)/60</f>
        <v>2.431116666666667</v>
      </c>
      <c r="S2" s="3">
        <v>1.1879999999999999</v>
      </c>
      <c r="T2" s="3">
        <v>111.94499999999999</v>
      </c>
      <c r="U2" s="3">
        <v>147.05500000000001</v>
      </c>
      <c r="V2" s="3">
        <v>23</v>
      </c>
      <c r="W2" s="3" t="b">
        <v>1</v>
      </c>
      <c r="X2" s="3" t="b">
        <v>1</v>
      </c>
      <c r="Y2" s="3" t="s">
        <v>234</v>
      </c>
      <c r="Z2" s="4">
        <f>AVERAGE(AA2:AC2)</f>
        <v>7</v>
      </c>
      <c r="AA2" s="3">
        <v>7</v>
      </c>
      <c r="AB2" s="3">
        <v>7</v>
      </c>
      <c r="AC2" s="3">
        <v>7</v>
      </c>
      <c r="AD2" s="4">
        <f>(AG2-AE2)/60</f>
        <v>6.513516666666666</v>
      </c>
      <c r="AE2" s="3">
        <v>1.1539999999999999</v>
      </c>
      <c r="AF2" s="3">
        <v>390.24599999999998</v>
      </c>
      <c r="AG2" s="3">
        <v>391.96499999999997</v>
      </c>
      <c r="AH2" s="3">
        <v>21</v>
      </c>
      <c r="AI2" s="3" t="b">
        <v>1</v>
      </c>
      <c r="AJ2" s="3" t="b">
        <v>1</v>
      </c>
      <c r="AK2" s="3" t="s">
        <v>234</v>
      </c>
      <c r="AL2" s="4">
        <f>AVERAGE(AM2:AO2)</f>
        <v>6.333333333333333</v>
      </c>
      <c r="AM2" s="3">
        <v>7</v>
      </c>
      <c r="AN2" s="3">
        <v>5</v>
      </c>
      <c r="AO2" s="3">
        <v>7</v>
      </c>
      <c r="AP2" s="4">
        <f>(AS2-AQ2)/60</f>
        <v>13.0778</v>
      </c>
      <c r="AQ2" s="3">
        <v>2.1949999999999998</v>
      </c>
      <c r="AR2" s="3">
        <v>749.07399999999996</v>
      </c>
      <c r="AS2" s="3">
        <v>786.86300000000006</v>
      </c>
      <c r="AT2" s="3">
        <v>86</v>
      </c>
      <c r="AU2" s="3" t="b">
        <v>1</v>
      </c>
      <c r="AV2" s="3" t="b">
        <v>1</v>
      </c>
      <c r="AW2" s="3" t="s">
        <v>234</v>
      </c>
      <c r="AX2" s="4">
        <f>AVERAGE(AY2:BA2)</f>
        <v>3</v>
      </c>
      <c r="AY2" s="3">
        <v>1</v>
      </c>
      <c r="AZ2" s="3">
        <v>1</v>
      </c>
      <c r="BA2" s="3">
        <v>7</v>
      </c>
      <c r="BB2" s="4">
        <f>(BE2-BC2)/60</f>
        <v>7.3153499999999996</v>
      </c>
      <c r="BC2" s="3">
        <v>0.91500000000000004</v>
      </c>
      <c r="BD2" s="3">
        <v>326.66899999999998</v>
      </c>
      <c r="BE2" s="3">
        <v>439.83600000000001</v>
      </c>
      <c r="BF2" s="3">
        <v>55</v>
      </c>
      <c r="BG2" s="3" t="b">
        <v>1</v>
      </c>
      <c r="BH2" s="3" t="b">
        <v>1</v>
      </c>
      <c r="BI2" s="3" t="s">
        <v>234</v>
      </c>
      <c r="BJ2" s="4">
        <f>AVERAGE(BK2:BM2)</f>
        <v>2.3333333333333335</v>
      </c>
      <c r="BK2" s="3">
        <v>1</v>
      </c>
      <c r="BL2" s="3">
        <v>5</v>
      </c>
      <c r="BM2" s="3">
        <v>1</v>
      </c>
      <c r="BN2" s="4">
        <f>(BQ2-BO2)/60</f>
        <v>2.3081833333333335</v>
      </c>
      <c r="BO2" s="3">
        <v>1.0880000000000001</v>
      </c>
      <c r="BP2" s="3">
        <v>112.11499999999999</v>
      </c>
      <c r="BQ2" s="3">
        <v>139.57900000000001</v>
      </c>
      <c r="BR2" s="3">
        <v>43</v>
      </c>
      <c r="BS2" s="3" t="b">
        <v>1</v>
      </c>
      <c r="BT2" s="3" t="b">
        <v>1</v>
      </c>
      <c r="BU2" s="3" t="s">
        <v>234</v>
      </c>
      <c r="BV2" s="3">
        <f>AVERAGE(BW2:BY2)</f>
        <v>3</v>
      </c>
      <c r="BW2" s="3">
        <v>1</v>
      </c>
      <c r="BX2" s="3">
        <v>7</v>
      </c>
      <c r="BY2" s="3">
        <v>1</v>
      </c>
      <c r="BZ2" s="3" t="s">
        <v>62</v>
      </c>
      <c r="CA2" s="3" t="s">
        <v>63</v>
      </c>
      <c r="CB2" s="3" t="s">
        <v>64</v>
      </c>
      <c r="CC2" s="3" t="s">
        <v>65</v>
      </c>
      <c r="CD2" s="3" t="s">
        <v>65</v>
      </c>
      <c r="CE2" s="3" t="s">
        <v>63</v>
      </c>
      <c r="CF2" s="3" t="s">
        <v>65</v>
      </c>
      <c r="CG2" s="3" t="s">
        <v>63</v>
      </c>
      <c r="CH2" s="3" t="s">
        <v>62</v>
      </c>
      <c r="CI2" s="3" t="s">
        <v>63</v>
      </c>
      <c r="CJ2" s="3">
        <f>COUNTIF(X2,TRUE)+COUNTIF(AJ2,TRUE)+COUNTIF(AV2,TRUE)+COUNTIF(BH2,TRUE)+COUNTIF(BT2,TRUE)</f>
        <v>5</v>
      </c>
      <c r="CK2" s="3">
        <f>(VLOOKUP(BZ2,References!$A$1:$C$6,2)+VLOOKUP(CA2,References!$A$1:$C$6,3)+VLOOKUP(CB2,References!$A$1:$C$6,2)+VLOOKUP(CC2,References!$A$1:$C$6,3)+VLOOKUP(CD2,References!$A$1:$C$6,2)+VLOOKUP(CE2,References!$A$1:$C$6,3)+VLOOKUP(CF2,References!$A$1:$C$6,2)+VLOOKUP(CG2,References!$A$1:$C$6,3)+VLOOKUP(CH2,References!$A$1:$C$6,2)+VLOOKUP(CI2,References!$A$1:$C$6,3))*2.5</f>
        <v>50</v>
      </c>
      <c r="CL2" s="1" t="s">
        <v>66</v>
      </c>
      <c r="CM2" s="1" t="s">
        <v>67</v>
      </c>
      <c r="CN2" s="1" t="s">
        <v>70</v>
      </c>
    </row>
    <row r="3" spans="1:92" ht="75" x14ac:dyDescent="0.25">
      <c r="A3" s="3">
        <v>51835</v>
      </c>
      <c r="B3" s="9" t="s">
        <v>243</v>
      </c>
      <c r="C3" s="4">
        <f t="shared" ref="C3:C26" si="3">A3/60</f>
        <v>863.91666666666663</v>
      </c>
      <c r="D3" s="4">
        <f t="shared" si="0"/>
        <v>9.819583333333334</v>
      </c>
      <c r="E3" s="3">
        <v>59.741</v>
      </c>
      <c r="F3" s="3">
        <v>645.21799999999996</v>
      </c>
      <c r="G3" s="3">
        <v>648.91600000000005</v>
      </c>
      <c r="H3" s="3">
        <v>4</v>
      </c>
      <c r="I3" s="3" t="s">
        <v>54</v>
      </c>
      <c r="J3" s="3" t="s">
        <v>71</v>
      </c>
      <c r="K3" s="3" t="s">
        <v>72</v>
      </c>
      <c r="L3" s="3" t="s">
        <v>57</v>
      </c>
      <c r="M3" s="4">
        <f t="shared" si="1"/>
        <v>0.46908333333333335</v>
      </c>
      <c r="N3" s="3">
        <v>0</v>
      </c>
      <c r="O3" s="3">
        <v>0</v>
      </c>
      <c r="P3" s="3">
        <v>28.145</v>
      </c>
      <c r="Q3" s="3">
        <v>0</v>
      </c>
      <c r="R3" s="4">
        <f t="shared" si="2"/>
        <v>13.740250000000001</v>
      </c>
      <c r="S3" s="3">
        <v>76.069000000000003</v>
      </c>
      <c r="T3" s="3">
        <v>883.82899999999995</v>
      </c>
      <c r="U3" s="3">
        <v>900.48400000000004</v>
      </c>
      <c r="V3" s="3">
        <v>2</v>
      </c>
      <c r="W3" s="3" t="b">
        <v>1</v>
      </c>
      <c r="X3" s="3" t="b">
        <v>1</v>
      </c>
      <c r="Y3" s="3" t="s">
        <v>234</v>
      </c>
      <c r="Z3" s="4">
        <f t="shared" ref="Z3:Z26" si="4">AVERAGE(AA3:AC3)</f>
        <v>4.666666666666667</v>
      </c>
      <c r="AA3" s="3">
        <v>7</v>
      </c>
      <c r="AB3" s="3">
        <v>5</v>
      </c>
      <c r="AC3" s="3">
        <v>2</v>
      </c>
      <c r="AD3" s="4">
        <f t="shared" ref="AD3:AD26" si="5">(AG3-AE3)/60</f>
        <v>9.8462666666666667</v>
      </c>
      <c r="AE3" s="3">
        <v>9.11</v>
      </c>
      <c r="AF3" s="3">
        <v>592.32100000000003</v>
      </c>
      <c r="AG3" s="3">
        <v>599.88599999999997</v>
      </c>
      <c r="AH3" s="3">
        <v>43</v>
      </c>
      <c r="AI3" s="3" t="b">
        <v>1</v>
      </c>
      <c r="AJ3" s="3" t="b">
        <v>1</v>
      </c>
      <c r="AK3" s="3" t="s">
        <v>234</v>
      </c>
      <c r="AL3" s="4">
        <f t="shared" ref="AL3:AL26" si="6">AVERAGE(AM3:AO3)</f>
        <v>5</v>
      </c>
      <c r="AM3" s="3">
        <v>7</v>
      </c>
      <c r="AN3" s="3">
        <v>6</v>
      </c>
      <c r="AO3" s="3">
        <v>2</v>
      </c>
      <c r="AP3" s="4">
        <f t="shared" ref="AP3:AP26" si="7">(AS3-AQ3)/60</f>
        <v>2.818916666666667</v>
      </c>
      <c r="AQ3" s="3">
        <v>3.4329999999999998</v>
      </c>
      <c r="AR3" s="3">
        <v>154.46100000000001</v>
      </c>
      <c r="AS3" s="3">
        <v>172.56800000000001</v>
      </c>
      <c r="AT3" s="3">
        <v>5</v>
      </c>
      <c r="AU3" s="3" t="b">
        <v>1</v>
      </c>
      <c r="AV3" s="3" t="b">
        <v>1</v>
      </c>
      <c r="AW3" s="3" t="s">
        <v>234</v>
      </c>
      <c r="AX3" s="4">
        <f t="shared" ref="AX3:AX26" si="8">AVERAGE(AY3:BA3)</f>
        <v>5.666666666666667</v>
      </c>
      <c r="AY3" s="3">
        <v>7</v>
      </c>
      <c r="AZ3" s="3">
        <v>6</v>
      </c>
      <c r="BA3" s="3">
        <v>4</v>
      </c>
      <c r="BB3" s="4">
        <f t="shared" ref="BB3:BB26" si="9">(BE3-BC3)/60</f>
        <v>6.2292166666666668</v>
      </c>
      <c r="BC3" s="3">
        <v>65.242000000000004</v>
      </c>
      <c r="BD3" s="3">
        <v>435.90499999999997</v>
      </c>
      <c r="BE3" s="3">
        <v>438.995</v>
      </c>
      <c r="BF3" s="3">
        <v>22</v>
      </c>
      <c r="BG3" s="3" t="b">
        <v>1</v>
      </c>
      <c r="BH3" s="3" t="b">
        <v>1</v>
      </c>
      <c r="BI3" s="3" t="s">
        <v>234</v>
      </c>
      <c r="BJ3" s="4">
        <f t="shared" ref="BJ3:BJ26" si="10">AVERAGE(BK3:BM3)</f>
        <v>5.666666666666667</v>
      </c>
      <c r="BK3" s="3">
        <v>7</v>
      </c>
      <c r="BL3" s="3">
        <v>6</v>
      </c>
      <c r="BM3" s="3">
        <v>4</v>
      </c>
      <c r="BN3" s="4">
        <f t="shared" ref="BN3:BN26" si="11">(BQ3-BO3)/60</f>
        <v>8.7915166666666664</v>
      </c>
      <c r="BO3" s="3">
        <v>9.0960000000000001</v>
      </c>
      <c r="BP3" s="3">
        <v>475.81599999999997</v>
      </c>
      <c r="BQ3" s="3">
        <v>536.58699999999999</v>
      </c>
      <c r="BR3" s="3">
        <v>18</v>
      </c>
      <c r="BS3" s="3" t="b">
        <v>1</v>
      </c>
      <c r="BT3" s="3" t="b">
        <v>1</v>
      </c>
      <c r="BU3" s="3" t="s">
        <v>234</v>
      </c>
      <c r="BV3" s="3">
        <f t="shared" ref="BV3:BV26" si="12">AVERAGE(BW3:BY3)</f>
        <v>6</v>
      </c>
      <c r="BW3" s="3">
        <v>7</v>
      </c>
      <c r="BX3" s="3">
        <v>7</v>
      </c>
      <c r="BY3" s="3">
        <v>4</v>
      </c>
      <c r="BZ3" s="3" t="s">
        <v>64</v>
      </c>
      <c r="CA3" s="3" t="s">
        <v>65</v>
      </c>
      <c r="CB3" s="3" t="s">
        <v>65</v>
      </c>
      <c r="CC3" s="3" t="s">
        <v>62</v>
      </c>
      <c r="CD3" s="3" t="s">
        <v>63</v>
      </c>
      <c r="CE3" s="3" t="s">
        <v>64</v>
      </c>
      <c r="CF3" s="3" t="s">
        <v>63</v>
      </c>
      <c r="CG3" s="3" t="s">
        <v>65</v>
      </c>
      <c r="CH3" s="3" t="s">
        <v>78</v>
      </c>
      <c r="CI3" s="3" t="s">
        <v>62</v>
      </c>
      <c r="CJ3" s="3">
        <f t="shared" ref="CJ3:CJ26" si="13">COUNTIF(X3,TRUE)+COUNTIF(AJ3,TRUE)+COUNTIF(AV3,TRUE)+COUNTIF(BH3,TRUE)+COUNTIF(BT3,TRUE)</f>
        <v>5</v>
      </c>
      <c r="CK3" s="3">
        <f>(VLOOKUP(BZ3,References!$A$1:$C$6,2)+VLOOKUP(CA3,References!$A$1:$C$6,3)+VLOOKUP(CB3,References!$A$1:$C$6,2)+VLOOKUP(CC3,References!$A$1:$C$6,3)+VLOOKUP(CD3,References!$A$1:$C$6,2)+VLOOKUP(CE3,References!$A$1:$C$6,3)+VLOOKUP(CF3,References!$A$1:$C$6,2)+VLOOKUP(CG3,References!$A$1:$C$6,3)+VLOOKUP(CH3,References!$A$1:$C$6,2)+VLOOKUP(CI3,References!$A$1:$C$6,3))*2.5</f>
        <v>50</v>
      </c>
      <c r="CL3" s="1" t="s">
        <v>79</v>
      </c>
      <c r="CM3" s="1" t="s">
        <v>80</v>
      </c>
      <c r="CN3" s="1" t="s">
        <v>82</v>
      </c>
    </row>
    <row r="4" spans="1:92" x14ac:dyDescent="0.25">
      <c r="A4" s="3">
        <v>1653</v>
      </c>
      <c r="B4" s="9" t="s">
        <v>242</v>
      </c>
      <c r="C4" s="4">
        <f t="shared" si="3"/>
        <v>27.55</v>
      </c>
      <c r="D4" s="4">
        <f t="shared" si="0"/>
        <v>0.47025</v>
      </c>
      <c r="E4" s="3">
        <v>1.3380000000000001</v>
      </c>
      <c r="F4" s="3">
        <v>24.05</v>
      </c>
      <c r="G4" s="3">
        <v>29.553000000000001</v>
      </c>
      <c r="H4" s="3">
        <v>10</v>
      </c>
      <c r="I4" s="3" t="s">
        <v>83</v>
      </c>
      <c r="J4" s="3" t="s">
        <v>55</v>
      </c>
      <c r="K4" s="3" t="s">
        <v>56</v>
      </c>
      <c r="L4" s="3" t="s">
        <v>84</v>
      </c>
      <c r="M4" s="4">
        <f t="shared" si="1"/>
        <v>0.34329999999999999</v>
      </c>
      <c r="N4" s="3">
        <v>0</v>
      </c>
      <c r="O4" s="3">
        <v>0</v>
      </c>
      <c r="P4" s="3">
        <v>20.597999999999999</v>
      </c>
      <c r="Q4" s="3">
        <v>0</v>
      </c>
      <c r="R4" s="4">
        <f t="shared" si="2"/>
        <v>0.70300000000000007</v>
      </c>
      <c r="S4" s="3">
        <v>35.186999999999998</v>
      </c>
      <c r="T4" s="3">
        <v>49.466999999999999</v>
      </c>
      <c r="U4" s="3">
        <v>77.367000000000004</v>
      </c>
      <c r="V4" s="3">
        <v>3</v>
      </c>
      <c r="W4" s="3" t="b">
        <v>1</v>
      </c>
      <c r="X4" s="3" t="b">
        <v>1</v>
      </c>
      <c r="Y4" s="3" t="s">
        <v>234</v>
      </c>
      <c r="Z4" s="4">
        <f t="shared" si="4"/>
        <v>7</v>
      </c>
      <c r="AA4" s="3">
        <v>7</v>
      </c>
      <c r="AB4" s="3">
        <v>7</v>
      </c>
      <c r="AC4" s="3">
        <v>7</v>
      </c>
      <c r="AD4" s="4">
        <f t="shared" si="5"/>
        <v>1.2097000000000002</v>
      </c>
      <c r="AE4" s="3">
        <v>2.99</v>
      </c>
      <c r="AF4" s="3">
        <v>60.685000000000002</v>
      </c>
      <c r="AG4" s="3">
        <v>75.572000000000003</v>
      </c>
      <c r="AH4" s="3">
        <v>7</v>
      </c>
      <c r="AI4" s="3" t="b">
        <v>1</v>
      </c>
      <c r="AJ4" s="3" t="b">
        <v>1</v>
      </c>
      <c r="AK4" s="3" t="s">
        <v>234</v>
      </c>
      <c r="AL4" s="4">
        <f t="shared" si="6"/>
        <v>7</v>
      </c>
      <c r="AM4" s="3">
        <v>7</v>
      </c>
      <c r="AN4" s="3">
        <v>7</v>
      </c>
      <c r="AO4" s="3">
        <v>7</v>
      </c>
      <c r="AP4" s="4">
        <f t="shared" si="7"/>
        <v>8.6098499999999998</v>
      </c>
      <c r="AQ4" s="3">
        <v>10.593</v>
      </c>
      <c r="AR4" s="3">
        <v>10.699</v>
      </c>
      <c r="AS4" s="3">
        <v>527.18399999999997</v>
      </c>
      <c r="AT4" s="3">
        <v>2</v>
      </c>
      <c r="AU4" s="3" t="b">
        <v>1</v>
      </c>
      <c r="AV4" s="3" t="b">
        <v>1</v>
      </c>
      <c r="AW4" s="3" t="s">
        <v>235</v>
      </c>
      <c r="AX4" s="4">
        <f t="shared" si="8"/>
        <v>3.3333333333333335</v>
      </c>
      <c r="AY4" s="3">
        <v>3</v>
      </c>
      <c r="AZ4" s="3">
        <v>2</v>
      </c>
      <c r="BA4" s="3">
        <v>5</v>
      </c>
      <c r="BB4" s="4">
        <f t="shared" si="9"/>
        <v>3.7049999999999986E-2</v>
      </c>
      <c r="BC4" s="3">
        <v>124.65</v>
      </c>
      <c r="BD4" s="3">
        <v>124.65</v>
      </c>
      <c r="BE4" s="3">
        <v>126.873</v>
      </c>
      <c r="BF4" s="3">
        <v>1</v>
      </c>
      <c r="BG4" s="3" t="b">
        <v>1</v>
      </c>
      <c r="BH4" s="3" t="b">
        <v>1</v>
      </c>
      <c r="BI4" s="3" t="s">
        <v>235</v>
      </c>
      <c r="BJ4" s="4">
        <f t="shared" si="10"/>
        <v>6</v>
      </c>
      <c r="BK4" s="3">
        <v>5</v>
      </c>
      <c r="BL4" s="3">
        <v>6</v>
      </c>
      <c r="BM4" s="3">
        <v>7</v>
      </c>
      <c r="BN4" s="4">
        <f t="shared" si="11"/>
        <v>7.1233333333333343E-2</v>
      </c>
      <c r="BO4" s="3">
        <v>474.05900000000003</v>
      </c>
      <c r="BP4" s="3">
        <v>474.05900000000003</v>
      </c>
      <c r="BQ4" s="3">
        <v>478.33300000000003</v>
      </c>
      <c r="BR4" s="3">
        <v>1</v>
      </c>
      <c r="BS4" s="3" t="b">
        <v>1</v>
      </c>
      <c r="BT4" s="3" t="b">
        <v>1</v>
      </c>
      <c r="BU4" s="3" t="s">
        <v>235</v>
      </c>
      <c r="BV4" s="3">
        <f t="shared" si="12"/>
        <v>2</v>
      </c>
      <c r="BW4" s="3">
        <v>1</v>
      </c>
      <c r="BX4" s="3">
        <v>1</v>
      </c>
      <c r="BY4" s="3">
        <v>4</v>
      </c>
      <c r="BZ4" s="3" t="s">
        <v>65</v>
      </c>
      <c r="CA4" s="3" t="s">
        <v>78</v>
      </c>
      <c r="CB4" s="3" t="s">
        <v>64</v>
      </c>
      <c r="CC4" s="3" t="s">
        <v>63</v>
      </c>
      <c r="CD4" s="3" t="s">
        <v>65</v>
      </c>
      <c r="CE4" s="3" t="s">
        <v>64</v>
      </c>
      <c r="CF4" s="3" t="s">
        <v>63</v>
      </c>
      <c r="CG4" s="3" t="s">
        <v>78</v>
      </c>
      <c r="CH4" s="3" t="s">
        <v>63</v>
      </c>
      <c r="CI4" s="3" t="s">
        <v>63</v>
      </c>
      <c r="CJ4" s="3">
        <f t="shared" si="13"/>
        <v>5</v>
      </c>
      <c r="CK4" s="3">
        <f>(VLOOKUP(BZ4,References!$A$1:$C$6,2)+VLOOKUP(CA4,References!$A$1:$C$6,3)+VLOOKUP(CB4,References!$A$1:$C$6,2)+VLOOKUP(CC4,References!$A$1:$C$6,3)+VLOOKUP(CD4,References!$A$1:$C$6,2)+VLOOKUP(CE4,References!$A$1:$C$6,3)+VLOOKUP(CF4,References!$A$1:$C$6,2)+VLOOKUP(CG4,References!$A$1:$C$6,3)+VLOOKUP(CH4,References!$A$1:$C$6,2)+VLOOKUP(CI4,References!$A$1:$C$6,3))*2.5</f>
        <v>60</v>
      </c>
      <c r="CL4" s="1" t="s">
        <v>90</v>
      </c>
      <c r="CM4" s="1" t="s">
        <v>91</v>
      </c>
      <c r="CN4" s="1" t="s">
        <v>93</v>
      </c>
    </row>
    <row r="5" spans="1:92" ht="45" x14ac:dyDescent="0.25">
      <c r="A5" s="3">
        <v>2570</v>
      </c>
      <c r="B5" s="9" t="s">
        <v>244</v>
      </c>
      <c r="C5" s="4">
        <f t="shared" si="3"/>
        <v>42.833333333333336</v>
      </c>
      <c r="D5" s="4">
        <f t="shared" si="0"/>
        <v>0.32041666666666707</v>
      </c>
      <c r="E5" s="3">
        <v>362.63299999999998</v>
      </c>
      <c r="F5" s="3">
        <v>378.77800000000002</v>
      </c>
      <c r="G5" s="3">
        <v>381.858</v>
      </c>
      <c r="H5" s="3">
        <v>4</v>
      </c>
      <c r="I5" s="3" t="s">
        <v>83</v>
      </c>
      <c r="J5" s="3" t="s">
        <v>94</v>
      </c>
      <c r="K5" s="3" t="s">
        <v>56</v>
      </c>
      <c r="L5" s="3" t="s">
        <v>84</v>
      </c>
      <c r="M5" s="4">
        <f t="shared" si="1"/>
        <v>0.62154999999999994</v>
      </c>
      <c r="N5" s="3">
        <v>19.521000000000001</v>
      </c>
      <c r="O5" s="3">
        <v>19.521000000000001</v>
      </c>
      <c r="P5" s="3">
        <v>56.814</v>
      </c>
      <c r="Q5" s="3">
        <v>1</v>
      </c>
      <c r="R5" s="4">
        <f t="shared" si="2"/>
        <v>0.65921666666666678</v>
      </c>
      <c r="S5" s="3">
        <v>13.653</v>
      </c>
      <c r="T5" s="3">
        <v>50.863999999999997</v>
      </c>
      <c r="U5" s="3">
        <v>53.206000000000003</v>
      </c>
      <c r="V5" s="3">
        <v>14</v>
      </c>
      <c r="W5" s="3" t="b">
        <v>1</v>
      </c>
      <c r="X5" s="3" t="b">
        <v>1</v>
      </c>
      <c r="Y5" s="3" t="s">
        <v>234</v>
      </c>
      <c r="Z5" s="4">
        <f t="shared" si="4"/>
        <v>7</v>
      </c>
      <c r="AA5" s="3">
        <v>7</v>
      </c>
      <c r="AB5" s="3">
        <v>7</v>
      </c>
      <c r="AC5" s="3">
        <v>7</v>
      </c>
      <c r="AD5" s="4">
        <f t="shared" si="5"/>
        <v>0.66710000000000003</v>
      </c>
      <c r="AE5" s="3">
        <v>21.707999999999998</v>
      </c>
      <c r="AF5" s="3">
        <v>58.195</v>
      </c>
      <c r="AG5" s="3">
        <v>61.734000000000002</v>
      </c>
      <c r="AH5" s="3">
        <v>8</v>
      </c>
      <c r="AI5" s="3" t="b">
        <v>1</v>
      </c>
      <c r="AJ5" s="3" t="b">
        <v>1</v>
      </c>
      <c r="AK5" s="3" t="s">
        <v>234</v>
      </c>
      <c r="AL5" s="4">
        <f t="shared" si="6"/>
        <v>6.333333333333333</v>
      </c>
      <c r="AM5" s="3">
        <v>6</v>
      </c>
      <c r="AN5" s="3">
        <v>6</v>
      </c>
      <c r="AO5" s="3">
        <v>7</v>
      </c>
      <c r="AP5" s="4">
        <f t="shared" si="7"/>
        <v>13.048299999999999</v>
      </c>
      <c r="AQ5" s="3">
        <v>41.561</v>
      </c>
      <c r="AR5" s="3">
        <v>822.86500000000001</v>
      </c>
      <c r="AS5" s="3">
        <v>824.45899999999995</v>
      </c>
      <c r="AT5" s="3">
        <v>30</v>
      </c>
      <c r="AU5" s="3" t="b">
        <v>1</v>
      </c>
      <c r="AV5" s="3" t="b">
        <v>1</v>
      </c>
      <c r="AW5" s="3" t="s">
        <v>235</v>
      </c>
      <c r="AX5" s="4">
        <f t="shared" si="8"/>
        <v>3.6666666666666665</v>
      </c>
      <c r="AY5" s="3">
        <v>3</v>
      </c>
      <c r="AZ5" s="3">
        <v>3</v>
      </c>
      <c r="BA5" s="3">
        <v>5</v>
      </c>
      <c r="BB5" s="4">
        <f t="shared" si="9"/>
        <v>3.2966666666666339E-2</v>
      </c>
      <c r="BC5" s="3">
        <v>173.49700000000001</v>
      </c>
      <c r="BD5" s="3">
        <v>173.49700000000001</v>
      </c>
      <c r="BE5" s="3">
        <v>175.47499999999999</v>
      </c>
      <c r="BF5" s="3">
        <v>1</v>
      </c>
      <c r="BG5" s="3" t="b">
        <v>1</v>
      </c>
      <c r="BH5" s="3" t="b">
        <v>1</v>
      </c>
      <c r="BI5" s="3" t="s">
        <v>235</v>
      </c>
      <c r="BJ5" s="4">
        <f t="shared" si="10"/>
        <v>6.333333333333333</v>
      </c>
      <c r="BK5" s="3">
        <v>6</v>
      </c>
      <c r="BL5" s="3">
        <v>6</v>
      </c>
      <c r="BM5" s="3">
        <v>7</v>
      </c>
      <c r="BN5" s="4">
        <f t="shared" si="11"/>
        <v>7.8138833333333331</v>
      </c>
      <c r="BO5" s="3">
        <v>194.35400000000001</v>
      </c>
      <c r="BP5" s="3">
        <v>660.53</v>
      </c>
      <c r="BQ5" s="3">
        <v>663.18700000000001</v>
      </c>
      <c r="BR5" s="3">
        <v>3</v>
      </c>
      <c r="BS5" s="3" t="b">
        <v>1</v>
      </c>
      <c r="BT5" s="3" t="b">
        <v>1</v>
      </c>
      <c r="BU5" s="3" t="s">
        <v>235</v>
      </c>
      <c r="BV5" s="3">
        <f t="shared" si="12"/>
        <v>1.3333333333333333</v>
      </c>
      <c r="BW5" s="3">
        <v>2</v>
      </c>
      <c r="BX5" s="3">
        <v>1</v>
      </c>
      <c r="BY5" s="3">
        <v>1</v>
      </c>
      <c r="BZ5" s="3" t="s">
        <v>65</v>
      </c>
      <c r="CA5" s="3" t="s">
        <v>63</v>
      </c>
      <c r="CB5" s="3" t="s">
        <v>65</v>
      </c>
      <c r="CC5" s="3" t="s">
        <v>62</v>
      </c>
      <c r="CD5" s="3" t="s">
        <v>65</v>
      </c>
      <c r="CE5" s="3" t="s">
        <v>64</v>
      </c>
      <c r="CF5" s="3" t="s">
        <v>65</v>
      </c>
      <c r="CG5" s="3" t="s">
        <v>63</v>
      </c>
      <c r="CH5" s="3" t="s">
        <v>65</v>
      </c>
      <c r="CI5" s="3" t="s">
        <v>63</v>
      </c>
      <c r="CJ5" s="3">
        <f t="shared" si="13"/>
        <v>5</v>
      </c>
      <c r="CK5" s="3">
        <f>(VLOOKUP(BZ5,References!$A$1:$C$6,2)+VLOOKUP(CA5,References!$A$1:$C$6,3)+VLOOKUP(CB5,References!$A$1:$C$6,2)+VLOOKUP(CC5,References!$A$1:$C$6,3)+VLOOKUP(CD5,References!$A$1:$C$6,2)+VLOOKUP(CE5,References!$A$1:$C$6,3)+VLOOKUP(CF5,References!$A$1:$C$6,2)+VLOOKUP(CG5,References!$A$1:$C$6,3)+VLOOKUP(CH5,References!$A$1:$C$6,2)+VLOOKUP(CI5,References!$A$1:$C$6,3))*2.5</f>
        <v>77.5</v>
      </c>
      <c r="CL5" s="1" t="s">
        <v>100</v>
      </c>
      <c r="CM5" s="1" t="s">
        <v>101</v>
      </c>
      <c r="CN5" s="1"/>
    </row>
    <row r="6" spans="1:92" ht="45" x14ac:dyDescent="0.25">
      <c r="A6" s="3">
        <v>3215</v>
      </c>
      <c r="B6" s="9" t="s">
        <v>245</v>
      </c>
      <c r="C6" s="4">
        <f t="shared" si="3"/>
        <v>53.583333333333336</v>
      </c>
      <c r="D6" s="4">
        <f t="shared" si="0"/>
        <v>0.18496666666666664</v>
      </c>
      <c r="E6" s="3">
        <v>103.363</v>
      </c>
      <c r="F6" s="3">
        <v>110.477</v>
      </c>
      <c r="G6" s="3">
        <v>114.461</v>
      </c>
      <c r="H6" s="3">
        <v>4</v>
      </c>
      <c r="I6" s="3" t="s">
        <v>83</v>
      </c>
      <c r="J6" s="3" t="s">
        <v>55</v>
      </c>
      <c r="K6" s="3" t="s">
        <v>56</v>
      </c>
      <c r="L6" s="3" t="s">
        <v>57</v>
      </c>
      <c r="M6" s="4">
        <f t="shared" si="1"/>
        <v>0.10255</v>
      </c>
      <c r="N6" s="3">
        <v>14.946</v>
      </c>
      <c r="O6" s="3">
        <v>14.946</v>
      </c>
      <c r="P6" s="3">
        <v>21.099</v>
      </c>
      <c r="Q6" s="3">
        <v>1</v>
      </c>
      <c r="R6" s="4">
        <f t="shared" si="2"/>
        <v>5.4450000000000172E-2</v>
      </c>
      <c r="S6" s="3">
        <v>120.291</v>
      </c>
      <c r="T6" s="3">
        <v>120.291</v>
      </c>
      <c r="U6" s="3">
        <v>123.55800000000001</v>
      </c>
      <c r="V6" s="3">
        <v>1</v>
      </c>
      <c r="W6" s="3" t="b">
        <v>1</v>
      </c>
      <c r="X6" s="3" t="b">
        <v>1</v>
      </c>
      <c r="Y6" s="3" t="s">
        <v>235</v>
      </c>
      <c r="Z6" s="4">
        <f t="shared" si="4"/>
        <v>7</v>
      </c>
      <c r="AA6" s="3">
        <v>7</v>
      </c>
      <c r="AB6" s="3">
        <v>7</v>
      </c>
      <c r="AC6" s="3">
        <v>7</v>
      </c>
      <c r="AD6" s="4">
        <f t="shared" si="5"/>
        <v>3.5416666666666666E-2</v>
      </c>
      <c r="AE6" s="3">
        <v>157.71</v>
      </c>
      <c r="AF6" s="3">
        <v>157.71</v>
      </c>
      <c r="AG6" s="3">
        <v>159.83500000000001</v>
      </c>
      <c r="AH6" s="3">
        <v>1</v>
      </c>
      <c r="AI6" s="3" t="b">
        <v>1</v>
      </c>
      <c r="AJ6" s="3" t="b">
        <v>1</v>
      </c>
      <c r="AK6" s="3" t="s">
        <v>235</v>
      </c>
      <c r="AL6" s="4">
        <f t="shared" si="6"/>
        <v>7</v>
      </c>
      <c r="AM6" s="3">
        <v>7</v>
      </c>
      <c r="AN6" s="3">
        <v>7</v>
      </c>
      <c r="AO6" s="3">
        <v>7</v>
      </c>
      <c r="AP6" s="4">
        <f t="shared" si="7"/>
        <v>10.251283333333333</v>
      </c>
      <c r="AQ6" s="3">
        <v>130.89599999999999</v>
      </c>
      <c r="AR6" s="3">
        <v>741.51800000000003</v>
      </c>
      <c r="AS6" s="3">
        <v>745.97299999999996</v>
      </c>
      <c r="AT6" s="3">
        <v>10</v>
      </c>
      <c r="AU6" s="3" t="b">
        <v>1</v>
      </c>
      <c r="AV6" s="3" t="b">
        <v>0</v>
      </c>
      <c r="AW6" s="3" t="s">
        <v>235</v>
      </c>
      <c r="AX6" s="4">
        <f t="shared" si="8"/>
        <v>5.666666666666667</v>
      </c>
      <c r="AY6" s="3">
        <v>7</v>
      </c>
      <c r="AZ6" s="3">
        <v>4</v>
      </c>
      <c r="BA6" s="3">
        <v>6</v>
      </c>
      <c r="BB6" s="4">
        <f t="shared" si="9"/>
        <v>12.521116666666666</v>
      </c>
      <c r="BC6" s="3">
        <v>202.65700000000001</v>
      </c>
      <c r="BD6" s="3">
        <v>951.9</v>
      </c>
      <c r="BE6" s="3">
        <v>953.92399999999998</v>
      </c>
      <c r="BF6" s="3">
        <v>13</v>
      </c>
      <c r="BG6" s="3" t="b">
        <v>1</v>
      </c>
      <c r="BH6" s="3" t="b">
        <v>1</v>
      </c>
      <c r="BI6" s="3" t="s">
        <v>235</v>
      </c>
      <c r="BJ6" s="4">
        <f t="shared" si="10"/>
        <v>5.333333333333333</v>
      </c>
      <c r="BK6" s="3">
        <v>5</v>
      </c>
      <c r="BL6" s="3">
        <v>5</v>
      </c>
      <c r="BM6" s="3">
        <v>6</v>
      </c>
      <c r="BN6" s="4">
        <f t="shared" si="11"/>
        <v>3.6461999999999999</v>
      </c>
      <c r="BO6" s="3">
        <v>451.00200000000001</v>
      </c>
      <c r="BP6" s="3">
        <v>667.80799999999999</v>
      </c>
      <c r="BQ6" s="3">
        <v>669.774</v>
      </c>
      <c r="BR6" s="3">
        <v>3</v>
      </c>
      <c r="BS6" s="3" t="b">
        <v>1</v>
      </c>
      <c r="BT6" s="3" t="b">
        <v>1</v>
      </c>
      <c r="BU6" s="3" t="s">
        <v>235</v>
      </c>
      <c r="BV6" s="3">
        <f t="shared" si="12"/>
        <v>7</v>
      </c>
      <c r="BW6" s="3">
        <v>7</v>
      </c>
      <c r="BX6" s="3">
        <v>7</v>
      </c>
      <c r="BY6" s="3">
        <v>7</v>
      </c>
      <c r="BZ6" s="3" t="s">
        <v>65</v>
      </c>
      <c r="CA6" s="3" t="s">
        <v>63</v>
      </c>
      <c r="CB6" s="3" t="s">
        <v>65</v>
      </c>
      <c r="CC6" s="3" t="s">
        <v>63</v>
      </c>
      <c r="CD6" s="3" t="s">
        <v>65</v>
      </c>
      <c r="CE6" s="3" t="s">
        <v>63</v>
      </c>
      <c r="CF6" s="3" t="s">
        <v>65</v>
      </c>
      <c r="CG6" s="3" t="s">
        <v>63</v>
      </c>
      <c r="CH6" s="3" t="s">
        <v>65</v>
      </c>
      <c r="CI6" s="3" t="s">
        <v>62</v>
      </c>
      <c r="CJ6" s="3">
        <f t="shared" si="13"/>
        <v>4</v>
      </c>
      <c r="CK6" s="3">
        <f>(VLOOKUP(BZ6,References!$A$1:$C$6,2)+VLOOKUP(CA6,References!$A$1:$C$6,3)+VLOOKUP(CB6,References!$A$1:$C$6,2)+VLOOKUP(CC6,References!$A$1:$C$6,3)+VLOOKUP(CD6,References!$A$1:$C$6,2)+VLOOKUP(CE6,References!$A$1:$C$6,3)+VLOOKUP(CF6,References!$A$1:$C$6,2)+VLOOKUP(CG6,References!$A$1:$C$6,3)+VLOOKUP(CH6,References!$A$1:$C$6,2)+VLOOKUP(CI6,References!$A$1:$C$6,3))*2.5</f>
        <v>77.5</v>
      </c>
      <c r="CL6" s="1" t="s">
        <v>107</v>
      </c>
      <c r="CM6" s="1" t="s">
        <v>108</v>
      </c>
      <c r="CN6" s="1" t="s">
        <v>109</v>
      </c>
    </row>
    <row r="7" spans="1:92" ht="45" x14ac:dyDescent="0.25">
      <c r="A7" s="3">
        <v>2216</v>
      </c>
      <c r="B7" s="9" t="s">
        <v>246</v>
      </c>
      <c r="C7" s="4">
        <f t="shared" si="3"/>
        <v>36.93333333333333</v>
      </c>
      <c r="D7" s="4">
        <f t="shared" si="0"/>
        <v>2.7302500000000003</v>
      </c>
      <c r="E7" s="3">
        <v>3.2770000000000001</v>
      </c>
      <c r="F7" s="3">
        <v>166.203</v>
      </c>
      <c r="G7" s="3">
        <v>167.09200000000001</v>
      </c>
      <c r="H7" s="3">
        <v>15</v>
      </c>
      <c r="I7" s="3" t="s">
        <v>83</v>
      </c>
      <c r="J7" s="3" t="s">
        <v>55</v>
      </c>
      <c r="K7" s="3" t="s">
        <v>56</v>
      </c>
      <c r="L7" s="3" t="s">
        <v>57</v>
      </c>
      <c r="M7" s="4">
        <f t="shared" si="1"/>
        <v>0.13543333333333335</v>
      </c>
      <c r="N7" s="3">
        <v>22.393999999999998</v>
      </c>
      <c r="O7" s="3">
        <v>22.393999999999998</v>
      </c>
      <c r="P7" s="3">
        <v>30.52</v>
      </c>
      <c r="Q7" s="3">
        <v>1</v>
      </c>
      <c r="R7" s="4">
        <f t="shared" si="2"/>
        <v>8.1600000000000256E-2</v>
      </c>
      <c r="S7" s="3">
        <v>446.15600000000001</v>
      </c>
      <c r="T7" s="3">
        <v>449.935</v>
      </c>
      <c r="U7" s="3">
        <v>451.05200000000002</v>
      </c>
      <c r="V7" s="3">
        <v>3</v>
      </c>
      <c r="W7" s="3" t="b">
        <v>1</v>
      </c>
      <c r="X7" s="3" t="b">
        <v>1</v>
      </c>
      <c r="Y7" s="3" t="s">
        <v>235</v>
      </c>
      <c r="Z7" s="4">
        <f t="shared" si="4"/>
        <v>6.666666666666667</v>
      </c>
      <c r="AA7" s="3">
        <v>7</v>
      </c>
      <c r="AB7" s="3">
        <v>6</v>
      </c>
      <c r="AC7" s="3">
        <v>7</v>
      </c>
      <c r="AD7" s="4">
        <f t="shared" si="5"/>
        <v>1.523033333333333</v>
      </c>
      <c r="AE7" s="3">
        <v>173.607</v>
      </c>
      <c r="AF7" s="3">
        <v>263.85700000000003</v>
      </c>
      <c r="AG7" s="3">
        <v>264.98899999999998</v>
      </c>
      <c r="AH7" s="3">
        <v>7</v>
      </c>
      <c r="AI7" s="3" t="b">
        <v>1</v>
      </c>
      <c r="AJ7" s="3" t="b">
        <v>1</v>
      </c>
      <c r="AK7" s="3" t="s">
        <v>235</v>
      </c>
      <c r="AL7" s="4">
        <f t="shared" si="6"/>
        <v>7</v>
      </c>
      <c r="AM7" s="3">
        <v>7</v>
      </c>
      <c r="AN7" s="3">
        <v>7</v>
      </c>
      <c r="AO7" s="3">
        <v>7</v>
      </c>
      <c r="AP7" s="4">
        <f t="shared" si="7"/>
        <v>0.38436666666666686</v>
      </c>
      <c r="AQ7" s="3">
        <v>366.26499999999999</v>
      </c>
      <c r="AR7" s="3">
        <v>387.09300000000002</v>
      </c>
      <c r="AS7" s="3">
        <v>389.327</v>
      </c>
      <c r="AT7" s="3">
        <v>3</v>
      </c>
      <c r="AU7" s="3" t="b">
        <v>1</v>
      </c>
      <c r="AV7" s="3" t="b">
        <v>1</v>
      </c>
      <c r="AW7" s="3" t="s">
        <v>235</v>
      </c>
      <c r="AX7" s="4">
        <f t="shared" si="8"/>
        <v>7</v>
      </c>
      <c r="AY7" s="3">
        <v>7</v>
      </c>
      <c r="AZ7" s="3">
        <v>7</v>
      </c>
      <c r="BA7" s="3">
        <v>7</v>
      </c>
      <c r="BB7" s="4">
        <f t="shared" si="9"/>
        <v>5.5083333333333449E-2</v>
      </c>
      <c r="BC7" s="3">
        <v>222.24299999999999</v>
      </c>
      <c r="BD7" s="3">
        <v>223.36600000000001</v>
      </c>
      <c r="BE7" s="3">
        <v>225.548</v>
      </c>
      <c r="BF7" s="3">
        <v>2</v>
      </c>
      <c r="BG7" s="3" t="b">
        <v>1</v>
      </c>
      <c r="BH7" s="3" t="b">
        <v>1</v>
      </c>
      <c r="BI7" s="3" t="s">
        <v>235</v>
      </c>
      <c r="BJ7" s="4">
        <f t="shared" si="10"/>
        <v>7</v>
      </c>
      <c r="BK7" s="3">
        <v>7</v>
      </c>
      <c r="BL7" s="3">
        <v>7</v>
      </c>
      <c r="BM7" s="3">
        <v>7</v>
      </c>
      <c r="BN7" s="4">
        <f t="shared" si="11"/>
        <v>4.2300000000000185E-2</v>
      </c>
      <c r="BO7" s="3">
        <v>388.99700000000001</v>
      </c>
      <c r="BP7" s="3">
        <v>388.99700000000001</v>
      </c>
      <c r="BQ7" s="3">
        <v>391.53500000000003</v>
      </c>
      <c r="BR7" s="3">
        <v>1</v>
      </c>
      <c r="BS7" s="3" t="b">
        <v>1</v>
      </c>
      <c r="BT7" s="3" t="b">
        <v>1</v>
      </c>
      <c r="BU7" s="3" t="s">
        <v>235</v>
      </c>
      <c r="BV7" s="3">
        <f t="shared" si="12"/>
        <v>7</v>
      </c>
      <c r="BW7" s="3">
        <v>7</v>
      </c>
      <c r="BX7" s="3">
        <v>7</v>
      </c>
      <c r="BY7" s="3">
        <v>7</v>
      </c>
      <c r="BZ7" s="3" t="s">
        <v>78</v>
      </c>
      <c r="CA7" s="3" t="s">
        <v>63</v>
      </c>
      <c r="CB7" s="3" t="s">
        <v>65</v>
      </c>
      <c r="CC7" s="3" t="s">
        <v>63</v>
      </c>
      <c r="CD7" s="3" t="s">
        <v>65</v>
      </c>
      <c r="CE7" s="3" t="s">
        <v>63</v>
      </c>
      <c r="CF7" s="3" t="s">
        <v>65</v>
      </c>
      <c r="CG7" s="3" t="s">
        <v>63</v>
      </c>
      <c r="CH7" s="3" t="s">
        <v>78</v>
      </c>
      <c r="CI7" s="3" t="s">
        <v>63</v>
      </c>
      <c r="CJ7" s="3">
        <f t="shared" si="13"/>
        <v>5</v>
      </c>
      <c r="CK7" s="3">
        <f>(VLOOKUP(BZ7,References!$A$1:$C$6,2)+VLOOKUP(CA7,References!$A$1:$C$6,3)+VLOOKUP(CB7,References!$A$1:$C$6,2)+VLOOKUP(CC7,References!$A$1:$C$6,3)+VLOOKUP(CD7,References!$A$1:$C$6,2)+VLOOKUP(CE7,References!$A$1:$C$6,3)+VLOOKUP(CF7,References!$A$1:$C$6,2)+VLOOKUP(CG7,References!$A$1:$C$6,3)+VLOOKUP(CH7,References!$A$1:$C$6,2)+VLOOKUP(CI7,References!$A$1:$C$6,3))*2.5</f>
        <v>65</v>
      </c>
      <c r="CL7" s="1" t="s">
        <v>113</v>
      </c>
      <c r="CM7" s="1" t="s">
        <v>114</v>
      </c>
      <c r="CN7" s="1"/>
    </row>
    <row r="8" spans="1:92" ht="45" x14ac:dyDescent="0.25">
      <c r="A8" s="3">
        <v>3388</v>
      </c>
      <c r="B8" s="9" t="s">
        <v>241</v>
      </c>
      <c r="C8" s="4">
        <f t="shared" si="3"/>
        <v>56.466666666666669</v>
      </c>
      <c r="D8" s="4">
        <f t="shared" si="0"/>
        <v>1.987266666666667</v>
      </c>
      <c r="E8" s="3">
        <v>34.598999999999997</v>
      </c>
      <c r="F8" s="3">
        <v>149.74</v>
      </c>
      <c r="G8" s="3">
        <v>153.83500000000001</v>
      </c>
      <c r="H8" s="3">
        <v>13</v>
      </c>
      <c r="I8" s="3" t="s">
        <v>83</v>
      </c>
      <c r="J8" s="3" t="s">
        <v>55</v>
      </c>
      <c r="K8" s="3" t="s">
        <v>56</v>
      </c>
      <c r="L8" s="3" t="s">
        <v>57</v>
      </c>
      <c r="M8" s="4">
        <f t="shared" si="1"/>
        <v>6.4716666666666672E-2</v>
      </c>
      <c r="N8" s="3">
        <v>2.6139999999999999</v>
      </c>
      <c r="O8" s="3">
        <v>5.2640000000000002</v>
      </c>
      <c r="P8" s="3">
        <v>6.4969999999999999</v>
      </c>
      <c r="Q8" s="3">
        <v>5</v>
      </c>
      <c r="R8" s="4">
        <f t="shared" si="2"/>
        <v>17.712499999999999</v>
      </c>
      <c r="S8" s="3">
        <v>28.495999999999999</v>
      </c>
      <c r="T8" s="3">
        <v>1085.854</v>
      </c>
      <c r="U8" s="3">
        <v>1091.2460000000001</v>
      </c>
      <c r="V8" s="3">
        <v>4</v>
      </c>
      <c r="W8" s="3" t="b">
        <v>1</v>
      </c>
      <c r="X8" s="3" t="b">
        <v>1</v>
      </c>
      <c r="Y8" s="3" t="s">
        <v>235</v>
      </c>
      <c r="Z8" s="4">
        <f t="shared" si="4"/>
        <v>7</v>
      </c>
      <c r="AA8" s="3">
        <v>7</v>
      </c>
      <c r="AB8" s="3">
        <v>7</v>
      </c>
      <c r="AC8" s="3">
        <v>7</v>
      </c>
      <c r="AD8" s="4">
        <f t="shared" si="5"/>
        <v>3.6183333333333206E-2</v>
      </c>
      <c r="AE8" s="3">
        <v>174.99100000000001</v>
      </c>
      <c r="AF8" s="3">
        <v>174.99100000000001</v>
      </c>
      <c r="AG8" s="3">
        <v>177.16200000000001</v>
      </c>
      <c r="AH8" s="3">
        <v>1</v>
      </c>
      <c r="AI8" s="3" t="b">
        <v>1</v>
      </c>
      <c r="AJ8" s="3" t="b">
        <v>1</v>
      </c>
      <c r="AK8" s="3" t="s">
        <v>235</v>
      </c>
      <c r="AL8" s="4">
        <f t="shared" si="6"/>
        <v>7</v>
      </c>
      <c r="AM8" s="3">
        <v>7</v>
      </c>
      <c r="AN8" s="3">
        <v>7</v>
      </c>
      <c r="AO8" s="3">
        <v>7</v>
      </c>
      <c r="AP8" s="4">
        <f t="shared" si="7"/>
        <v>7.2256</v>
      </c>
      <c r="AQ8" s="3">
        <v>11.666</v>
      </c>
      <c r="AR8" s="3">
        <v>424.82799999999997</v>
      </c>
      <c r="AS8" s="3">
        <v>445.202</v>
      </c>
      <c r="AT8" s="3">
        <v>16</v>
      </c>
      <c r="AU8" s="3" t="b">
        <v>1</v>
      </c>
      <c r="AV8" s="3" t="b">
        <v>1</v>
      </c>
      <c r="AW8" s="3" t="s">
        <v>235</v>
      </c>
      <c r="AX8" s="4">
        <f t="shared" si="8"/>
        <v>5.666666666666667</v>
      </c>
      <c r="AY8" s="3">
        <v>5</v>
      </c>
      <c r="AZ8" s="3">
        <v>7</v>
      </c>
      <c r="BA8" s="3">
        <v>5</v>
      </c>
      <c r="BB8" s="4">
        <f t="shared" si="9"/>
        <v>3.6221333333333332</v>
      </c>
      <c r="BC8" s="3">
        <v>1.597</v>
      </c>
      <c r="BD8" s="3">
        <v>217.00200000000001</v>
      </c>
      <c r="BE8" s="3">
        <v>218.92500000000001</v>
      </c>
      <c r="BF8" s="3">
        <v>4</v>
      </c>
      <c r="BG8" s="3" t="b">
        <v>1</v>
      </c>
      <c r="BH8" s="3" t="b">
        <v>1</v>
      </c>
      <c r="BI8" s="3" t="s">
        <v>235</v>
      </c>
      <c r="BJ8" s="4">
        <f t="shared" si="10"/>
        <v>7</v>
      </c>
      <c r="BK8" s="3">
        <v>7</v>
      </c>
      <c r="BL8" s="3">
        <v>7</v>
      </c>
      <c r="BM8" s="3">
        <v>7</v>
      </c>
      <c r="BN8" s="4">
        <f t="shared" si="11"/>
        <v>8.1237833333333338</v>
      </c>
      <c r="BO8" s="3">
        <v>2.387</v>
      </c>
      <c r="BP8" s="3">
        <v>488.28699999999998</v>
      </c>
      <c r="BQ8" s="3">
        <v>489.81400000000002</v>
      </c>
      <c r="BR8" s="3">
        <v>19</v>
      </c>
      <c r="BS8" s="3" t="b">
        <v>1</v>
      </c>
      <c r="BT8" s="3" t="b">
        <v>1</v>
      </c>
      <c r="BU8" s="3" t="s">
        <v>234</v>
      </c>
      <c r="BV8" s="3">
        <f t="shared" si="12"/>
        <v>6.666666666666667</v>
      </c>
      <c r="BW8" s="3">
        <v>7</v>
      </c>
      <c r="BX8" s="3">
        <v>7</v>
      </c>
      <c r="BY8" s="3">
        <v>6</v>
      </c>
      <c r="BZ8" s="3" t="s">
        <v>78</v>
      </c>
      <c r="CA8" s="3" t="s">
        <v>62</v>
      </c>
      <c r="CB8" s="3" t="s">
        <v>78</v>
      </c>
      <c r="CC8" s="3" t="s">
        <v>63</v>
      </c>
      <c r="CD8" s="3" t="s">
        <v>78</v>
      </c>
      <c r="CE8" s="3" t="s">
        <v>63</v>
      </c>
      <c r="CF8" s="3" t="s">
        <v>65</v>
      </c>
      <c r="CG8" s="3" t="s">
        <v>62</v>
      </c>
      <c r="CH8" s="3" t="s">
        <v>65</v>
      </c>
      <c r="CI8" s="3" t="s">
        <v>63</v>
      </c>
      <c r="CJ8" s="3">
        <f t="shared" si="13"/>
        <v>5</v>
      </c>
      <c r="CK8" s="3">
        <f>(VLOOKUP(BZ8,References!$A$1:$C$6,2)+VLOOKUP(CA8,References!$A$1:$C$6,3)+VLOOKUP(CB8,References!$A$1:$C$6,2)+VLOOKUP(CC8,References!$A$1:$C$6,3)+VLOOKUP(CD8,References!$A$1:$C$6,2)+VLOOKUP(CE8,References!$A$1:$C$6,3)+VLOOKUP(CF8,References!$A$1:$C$6,2)+VLOOKUP(CG8,References!$A$1:$C$6,3)+VLOOKUP(CH8,References!$A$1:$C$6,2)+VLOOKUP(CI8,References!$A$1:$C$6,3))*2.5</f>
        <v>65</v>
      </c>
      <c r="CL8" s="1" t="s">
        <v>118</v>
      </c>
      <c r="CM8" s="1" t="s">
        <v>119</v>
      </c>
      <c r="CN8" s="1" t="s">
        <v>120</v>
      </c>
    </row>
    <row r="9" spans="1:92" ht="30" x14ac:dyDescent="0.25">
      <c r="A9" s="3">
        <v>10211</v>
      </c>
      <c r="B9" s="9" t="s">
        <v>247</v>
      </c>
      <c r="C9" s="4">
        <f t="shared" si="3"/>
        <v>170.18333333333334</v>
      </c>
      <c r="D9" s="4">
        <f t="shared" si="0"/>
        <v>4.3346999999999998</v>
      </c>
      <c r="E9" s="3">
        <v>141.23699999999999</v>
      </c>
      <c r="F9" s="3">
        <v>399.07100000000003</v>
      </c>
      <c r="G9" s="3">
        <v>401.31900000000002</v>
      </c>
      <c r="H9" s="3">
        <v>10</v>
      </c>
      <c r="I9" s="3" t="s">
        <v>83</v>
      </c>
      <c r="J9" s="3" t="s">
        <v>55</v>
      </c>
      <c r="K9" s="3" t="s">
        <v>56</v>
      </c>
      <c r="L9" s="3" t="s">
        <v>57</v>
      </c>
      <c r="M9" s="4">
        <f t="shared" si="1"/>
        <v>0.26423333333333332</v>
      </c>
      <c r="N9" s="3">
        <v>108.672</v>
      </c>
      <c r="O9" s="3">
        <v>108.672</v>
      </c>
      <c r="P9" s="3">
        <v>124.526</v>
      </c>
      <c r="Q9" s="3">
        <v>1</v>
      </c>
      <c r="R9" s="4">
        <f t="shared" si="2"/>
        <v>3.5709999999999997</v>
      </c>
      <c r="S9" s="3">
        <v>33.347999999999999</v>
      </c>
      <c r="T9" s="3">
        <v>238.97300000000001</v>
      </c>
      <c r="U9" s="3">
        <v>247.608</v>
      </c>
      <c r="V9" s="3">
        <v>2</v>
      </c>
      <c r="W9" s="3" t="b">
        <v>1</v>
      </c>
      <c r="X9" s="3" t="b">
        <v>1</v>
      </c>
      <c r="Y9" s="3" t="s">
        <v>235</v>
      </c>
      <c r="Z9" s="4">
        <f t="shared" si="4"/>
        <v>7</v>
      </c>
      <c r="AA9" s="3">
        <v>7</v>
      </c>
      <c r="AB9" s="3">
        <v>7</v>
      </c>
      <c r="AC9" s="3">
        <v>7</v>
      </c>
      <c r="AD9" s="4">
        <f t="shared" si="5"/>
        <v>7.5306666666666668</v>
      </c>
      <c r="AE9" s="3">
        <v>633.16899999999998</v>
      </c>
      <c r="AF9" s="3">
        <v>1077.7809999999999</v>
      </c>
      <c r="AG9" s="3">
        <v>1085.009</v>
      </c>
      <c r="AH9" s="3">
        <v>2</v>
      </c>
      <c r="AI9" s="3" t="b">
        <v>1</v>
      </c>
      <c r="AJ9" s="3" t="b">
        <v>1</v>
      </c>
      <c r="AK9" s="3" t="s">
        <v>235</v>
      </c>
      <c r="AL9" s="4">
        <f t="shared" si="6"/>
        <v>7</v>
      </c>
      <c r="AM9" s="3">
        <v>7</v>
      </c>
      <c r="AN9" s="3">
        <v>7</v>
      </c>
      <c r="AO9" s="3">
        <v>7</v>
      </c>
      <c r="AP9" s="4">
        <f t="shared" si="7"/>
        <v>0.12491666666666675</v>
      </c>
      <c r="AQ9" s="3">
        <v>681.55899999999997</v>
      </c>
      <c r="AR9" s="3">
        <v>682.5</v>
      </c>
      <c r="AS9" s="3">
        <v>689.05399999999997</v>
      </c>
      <c r="AT9" s="3">
        <v>2</v>
      </c>
      <c r="AU9" s="3" t="b">
        <v>1</v>
      </c>
      <c r="AV9" s="3" t="b">
        <v>1</v>
      </c>
      <c r="AW9" s="3" t="s">
        <v>235</v>
      </c>
      <c r="AX9" s="4">
        <f t="shared" si="8"/>
        <v>6.666666666666667</v>
      </c>
      <c r="AY9" s="3">
        <v>7</v>
      </c>
      <c r="AZ9" s="3">
        <v>7</v>
      </c>
      <c r="BA9" s="3">
        <v>6</v>
      </c>
      <c r="BB9" s="4">
        <f t="shared" si="9"/>
        <v>7.794999999999988E-2</v>
      </c>
      <c r="BC9" s="3">
        <v>183.095</v>
      </c>
      <c r="BD9" s="3">
        <v>184.053</v>
      </c>
      <c r="BE9" s="3">
        <v>187.77199999999999</v>
      </c>
      <c r="BF9" s="3">
        <v>2</v>
      </c>
      <c r="BG9" s="3" t="b">
        <v>1</v>
      </c>
      <c r="BH9" s="3" t="b">
        <v>1</v>
      </c>
      <c r="BI9" s="3" t="s">
        <v>235</v>
      </c>
      <c r="BJ9" s="4">
        <f t="shared" si="10"/>
        <v>7</v>
      </c>
      <c r="BK9" s="3">
        <v>7</v>
      </c>
      <c r="BL9" s="3">
        <v>7</v>
      </c>
      <c r="BM9" s="3">
        <v>7</v>
      </c>
      <c r="BN9" s="4">
        <f t="shared" si="11"/>
        <v>12.454583333333336</v>
      </c>
      <c r="BO9" s="3">
        <v>1121.7429999999999</v>
      </c>
      <c r="BP9" s="3">
        <v>1862.954</v>
      </c>
      <c r="BQ9" s="3">
        <v>1869.018</v>
      </c>
      <c r="BR9" s="3">
        <v>3</v>
      </c>
      <c r="BS9" s="3" t="b">
        <v>1</v>
      </c>
      <c r="BT9" s="3" t="b">
        <v>1</v>
      </c>
      <c r="BU9" s="3" t="s">
        <v>235</v>
      </c>
      <c r="BV9" s="3">
        <f t="shared" si="12"/>
        <v>6.333333333333333</v>
      </c>
      <c r="BW9" s="3">
        <v>6</v>
      </c>
      <c r="BX9" s="3">
        <v>7</v>
      </c>
      <c r="BY9" s="3">
        <v>6</v>
      </c>
      <c r="BZ9" s="3" t="s">
        <v>65</v>
      </c>
      <c r="CA9" s="3" t="s">
        <v>62</v>
      </c>
      <c r="CB9" s="3" t="s">
        <v>78</v>
      </c>
      <c r="CC9" s="3" t="s">
        <v>62</v>
      </c>
      <c r="CD9" s="3" t="s">
        <v>78</v>
      </c>
      <c r="CE9" s="3" t="s">
        <v>63</v>
      </c>
      <c r="CF9" s="3" t="s">
        <v>65</v>
      </c>
      <c r="CG9" s="3" t="s">
        <v>63</v>
      </c>
      <c r="CH9" s="3" t="s">
        <v>78</v>
      </c>
      <c r="CI9" s="3" t="s">
        <v>62</v>
      </c>
      <c r="CJ9" s="3">
        <f t="shared" si="13"/>
        <v>5</v>
      </c>
      <c r="CK9" s="3">
        <f>(VLOOKUP(BZ9,References!$A$1:$C$6,2)+VLOOKUP(CA9,References!$A$1:$C$6,3)+VLOOKUP(CB9,References!$A$1:$C$6,2)+VLOOKUP(CC9,References!$A$1:$C$6,3)+VLOOKUP(CD9,References!$A$1:$C$6,2)+VLOOKUP(CE9,References!$A$1:$C$6,3)+VLOOKUP(CF9,References!$A$1:$C$6,2)+VLOOKUP(CG9,References!$A$1:$C$6,3)+VLOOKUP(CH9,References!$A$1:$C$6,2)+VLOOKUP(CI9,References!$A$1:$C$6,3))*2.5</f>
        <v>67.5</v>
      </c>
      <c r="CL9" s="1" t="s">
        <v>124</v>
      </c>
      <c r="CM9" s="1" t="s">
        <v>125</v>
      </c>
      <c r="CN9" s="1"/>
    </row>
    <row r="10" spans="1:92" ht="30" x14ac:dyDescent="0.25">
      <c r="A10" s="3">
        <v>2406</v>
      </c>
      <c r="B10" s="9" t="s">
        <v>248</v>
      </c>
      <c r="C10" s="4">
        <f t="shared" si="3"/>
        <v>40.1</v>
      </c>
      <c r="D10" s="4">
        <f t="shared" si="0"/>
        <v>0.69884999999999997</v>
      </c>
      <c r="E10" s="3">
        <v>84.724000000000004</v>
      </c>
      <c r="F10" s="3">
        <v>116.28400000000001</v>
      </c>
      <c r="G10" s="3">
        <v>126.655</v>
      </c>
      <c r="H10" s="3">
        <v>10</v>
      </c>
      <c r="I10" s="3" t="s">
        <v>83</v>
      </c>
      <c r="J10" s="3" t="s">
        <v>55</v>
      </c>
      <c r="K10" s="3" t="s">
        <v>56</v>
      </c>
      <c r="L10" s="3" t="s">
        <v>57</v>
      </c>
      <c r="M10" s="4">
        <f t="shared" si="1"/>
        <v>0.19523333333333334</v>
      </c>
      <c r="N10" s="3">
        <v>0</v>
      </c>
      <c r="O10" s="3">
        <v>0</v>
      </c>
      <c r="P10" s="3">
        <v>11.714</v>
      </c>
      <c r="Q10" s="3">
        <v>0</v>
      </c>
      <c r="R10" s="4">
        <f t="shared" si="2"/>
        <v>1.5413666666666666</v>
      </c>
      <c r="S10" s="3">
        <v>15.875999999999999</v>
      </c>
      <c r="T10" s="3">
        <v>83.129000000000005</v>
      </c>
      <c r="U10" s="3">
        <v>108.358</v>
      </c>
      <c r="V10" s="3">
        <v>4</v>
      </c>
      <c r="W10" s="3" t="b">
        <v>1</v>
      </c>
      <c r="X10" s="3" t="b">
        <v>1</v>
      </c>
      <c r="Y10" s="3" t="s">
        <v>234</v>
      </c>
      <c r="Z10" s="4">
        <f t="shared" si="4"/>
        <v>7</v>
      </c>
      <c r="AA10" s="3">
        <v>7</v>
      </c>
      <c r="AB10" s="3">
        <v>7</v>
      </c>
      <c r="AC10" s="3">
        <v>7</v>
      </c>
      <c r="AD10" s="4">
        <f t="shared" si="5"/>
        <v>3.8604166666666666</v>
      </c>
      <c r="AE10" s="3">
        <v>15.284000000000001</v>
      </c>
      <c r="AF10" s="3">
        <v>242.66800000000001</v>
      </c>
      <c r="AG10" s="3">
        <v>246.90899999999999</v>
      </c>
      <c r="AH10" s="3">
        <v>26</v>
      </c>
      <c r="AI10" s="3" t="b">
        <v>1</v>
      </c>
      <c r="AJ10" s="3" t="b">
        <v>1</v>
      </c>
      <c r="AK10" s="3" t="s">
        <v>234</v>
      </c>
      <c r="AL10" s="4">
        <f t="shared" si="6"/>
        <v>4.333333333333333</v>
      </c>
      <c r="AM10" s="3">
        <v>3</v>
      </c>
      <c r="AN10" s="3">
        <v>3</v>
      </c>
      <c r="AO10" s="3">
        <v>7</v>
      </c>
      <c r="AP10" s="4">
        <f t="shared" si="7"/>
        <v>5.3168000000000006</v>
      </c>
      <c r="AQ10" s="3">
        <v>605.60500000000002</v>
      </c>
      <c r="AR10" s="3">
        <v>907.93799999999999</v>
      </c>
      <c r="AS10" s="3">
        <v>924.61300000000006</v>
      </c>
      <c r="AT10" s="3">
        <v>5</v>
      </c>
      <c r="AU10" s="3" t="b">
        <v>1</v>
      </c>
      <c r="AV10" s="3" t="b">
        <v>1</v>
      </c>
      <c r="AW10" s="3" t="s">
        <v>235</v>
      </c>
      <c r="AX10" s="4">
        <f t="shared" si="8"/>
        <v>5.333333333333333</v>
      </c>
      <c r="AY10" s="3">
        <v>4</v>
      </c>
      <c r="AZ10" s="3">
        <v>5</v>
      </c>
      <c r="BA10" s="3">
        <v>7</v>
      </c>
      <c r="BB10" s="4">
        <f t="shared" si="9"/>
        <v>2.6466666666666801E-2</v>
      </c>
      <c r="BC10" s="3">
        <v>126.58499999999999</v>
      </c>
      <c r="BD10" s="3">
        <v>126.58499999999999</v>
      </c>
      <c r="BE10" s="3">
        <v>128.173</v>
      </c>
      <c r="BF10" s="3">
        <v>1</v>
      </c>
      <c r="BG10" s="3" t="b">
        <v>1</v>
      </c>
      <c r="BH10" s="3" t="b">
        <v>1</v>
      </c>
      <c r="BI10" s="3" t="s">
        <v>235</v>
      </c>
      <c r="BJ10" s="4">
        <f t="shared" si="10"/>
        <v>6.333333333333333</v>
      </c>
      <c r="BK10" s="3">
        <v>6</v>
      </c>
      <c r="BL10" s="3">
        <v>6</v>
      </c>
      <c r="BM10" s="3">
        <v>7</v>
      </c>
      <c r="BN10" s="4">
        <f t="shared" si="11"/>
        <v>6.0674000000000001</v>
      </c>
      <c r="BO10" s="3">
        <v>96.138000000000005</v>
      </c>
      <c r="BP10" s="3">
        <v>111.72199999999999</v>
      </c>
      <c r="BQ10" s="3">
        <v>460.18200000000002</v>
      </c>
      <c r="BR10" s="3">
        <v>3</v>
      </c>
      <c r="BS10" s="3" t="b">
        <v>1</v>
      </c>
      <c r="BT10" s="3" t="b">
        <v>1</v>
      </c>
      <c r="BU10" s="3" t="s">
        <v>235</v>
      </c>
      <c r="BV10" s="3">
        <f t="shared" si="12"/>
        <v>4</v>
      </c>
      <c r="BW10" s="3">
        <v>3</v>
      </c>
      <c r="BX10" s="3">
        <v>4</v>
      </c>
      <c r="BY10" s="3">
        <v>5</v>
      </c>
      <c r="BZ10" s="3" t="s">
        <v>65</v>
      </c>
      <c r="CA10" s="3" t="s">
        <v>64</v>
      </c>
      <c r="CB10" s="3" t="s">
        <v>65</v>
      </c>
      <c r="CC10" s="3" t="s">
        <v>62</v>
      </c>
      <c r="CD10" s="3" t="s">
        <v>64</v>
      </c>
      <c r="CE10" s="3" t="s">
        <v>64</v>
      </c>
      <c r="CF10" s="3" t="s">
        <v>64</v>
      </c>
      <c r="CG10" s="3" t="s">
        <v>63</v>
      </c>
      <c r="CH10" s="3" t="s">
        <v>65</v>
      </c>
      <c r="CI10" s="3" t="s">
        <v>65</v>
      </c>
      <c r="CJ10" s="3">
        <f t="shared" si="13"/>
        <v>5</v>
      </c>
      <c r="CK10" s="3">
        <f>(VLOOKUP(BZ10,References!$A$1:$C$6,2)+VLOOKUP(CA10,References!$A$1:$C$6,3)+VLOOKUP(CB10,References!$A$1:$C$6,2)+VLOOKUP(CC10,References!$A$1:$C$6,3)+VLOOKUP(CD10,References!$A$1:$C$6,2)+VLOOKUP(CE10,References!$A$1:$C$6,3)+VLOOKUP(CF10,References!$A$1:$C$6,2)+VLOOKUP(CG10,References!$A$1:$C$6,3)+VLOOKUP(CH10,References!$A$1:$C$6,2)+VLOOKUP(CI10,References!$A$1:$C$6,3))*2.5</f>
        <v>62.5</v>
      </c>
      <c r="CL10" s="1" t="s">
        <v>130</v>
      </c>
      <c r="CM10" s="1" t="s">
        <v>131</v>
      </c>
      <c r="CN10" s="1" t="s">
        <v>132</v>
      </c>
    </row>
    <row r="11" spans="1:92" ht="60" x14ac:dyDescent="0.25">
      <c r="A11" s="3">
        <v>3923</v>
      </c>
      <c r="B11" s="9" t="s">
        <v>249</v>
      </c>
      <c r="C11" s="4">
        <f t="shared" si="3"/>
        <v>65.38333333333334</v>
      </c>
      <c r="D11" s="4">
        <f t="shared" si="0"/>
        <v>0.36218333333333325</v>
      </c>
      <c r="E11" s="3">
        <v>66.739000000000004</v>
      </c>
      <c r="F11" s="3">
        <v>87.483000000000004</v>
      </c>
      <c r="G11" s="3">
        <v>88.47</v>
      </c>
      <c r="H11" s="3">
        <v>5</v>
      </c>
      <c r="I11" s="3" t="s">
        <v>83</v>
      </c>
      <c r="J11" s="3" t="s">
        <v>55</v>
      </c>
      <c r="K11" s="3" t="s">
        <v>56</v>
      </c>
      <c r="L11" s="3" t="s">
        <v>57</v>
      </c>
      <c r="M11" s="4">
        <f t="shared" si="1"/>
        <v>0.19998333333333335</v>
      </c>
      <c r="N11" s="3">
        <v>0</v>
      </c>
      <c r="O11" s="3">
        <v>0</v>
      </c>
      <c r="P11" s="3">
        <v>11.999000000000001</v>
      </c>
      <c r="Q11" s="3">
        <v>0</v>
      </c>
      <c r="R11" s="4">
        <f t="shared" si="2"/>
        <v>1.9662499999999998</v>
      </c>
      <c r="S11" s="3">
        <v>6.5369999999999999</v>
      </c>
      <c r="T11" s="3">
        <v>121.899</v>
      </c>
      <c r="U11" s="3">
        <v>124.512</v>
      </c>
      <c r="V11" s="3">
        <v>3</v>
      </c>
      <c r="W11" s="3" t="b">
        <v>1</v>
      </c>
      <c r="X11" s="3" t="b">
        <v>1</v>
      </c>
      <c r="Y11" s="3" t="s">
        <v>235</v>
      </c>
      <c r="Z11" s="4">
        <f t="shared" si="4"/>
        <v>7</v>
      </c>
      <c r="AA11" s="3">
        <v>7</v>
      </c>
      <c r="AB11" s="3">
        <v>7</v>
      </c>
      <c r="AC11" s="3">
        <v>7</v>
      </c>
      <c r="AD11" s="4">
        <f t="shared" si="5"/>
        <v>4.331666666666649E-2</v>
      </c>
      <c r="AE11" s="3">
        <v>177.12</v>
      </c>
      <c r="AF11" s="3">
        <v>177.12</v>
      </c>
      <c r="AG11" s="3">
        <v>179.71899999999999</v>
      </c>
      <c r="AH11" s="3">
        <v>1</v>
      </c>
      <c r="AI11" s="3" t="b">
        <v>1</v>
      </c>
      <c r="AJ11" s="3" t="b">
        <v>1</v>
      </c>
      <c r="AK11" s="3" t="s">
        <v>235</v>
      </c>
      <c r="AL11" s="4">
        <f t="shared" si="6"/>
        <v>7</v>
      </c>
      <c r="AM11" s="3">
        <v>7</v>
      </c>
      <c r="AN11" s="3">
        <v>7</v>
      </c>
      <c r="AO11" s="3">
        <v>7</v>
      </c>
      <c r="AP11" s="4">
        <f t="shared" si="7"/>
        <v>28.670966666666665</v>
      </c>
      <c r="AQ11" s="3">
        <v>317.16800000000001</v>
      </c>
      <c r="AR11" s="3">
        <v>2030.6410000000001</v>
      </c>
      <c r="AS11" s="3">
        <v>2037.4259999999999</v>
      </c>
      <c r="AT11" s="3">
        <v>9</v>
      </c>
      <c r="AU11" s="3" t="b">
        <v>1</v>
      </c>
      <c r="AV11" s="3" t="b">
        <v>1</v>
      </c>
      <c r="AW11" s="3" t="s">
        <v>235</v>
      </c>
      <c r="AX11" s="4">
        <f t="shared" si="8"/>
        <v>2.6666666666666665</v>
      </c>
      <c r="AY11" s="3">
        <v>4</v>
      </c>
      <c r="AZ11" s="3">
        <v>2</v>
      </c>
      <c r="BA11" s="3">
        <v>2</v>
      </c>
      <c r="BB11" s="4">
        <f t="shared" si="9"/>
        <v>1.49</v>
      </c>
      <c r="BC11" s="3">
        <v>10.645</v>
      </c>
      <c r="BD11" s="3">
        <v>98.061000000000007</v>
      </c>
      <c r="BE11" s="3">
        <v>100.045</v>
      </c>
      <c r="BF11" s="3">
        <v>4</v>
      </c>
      <c r="BG11" s="3" t="b">
        <v>1</v>
      </c>
      <c r="BH11" s="3" t="b">
        <v>1</v>
      </c>
      <c r="BI11" s="3" t="s">
        <v>235</v>
      </c>
      <c r="BJ11" s="4">
        <f t="shared" si="10"/>
        <v>7</v>
      </c>
      <c r="BK11" s="3">
        <v>7</v>
      </c>
      <c r="BL11" s="3">
        <v>7</v>
      </c>
      <c r="BM11" s="3">
        <v>7</v>
      </c>
      <c r="BN11" s="4">
        <f t="shared" si="11"/>
        <v>11.479083333333334</v>
      </c>
      <c r="BO11" s="3">
        <v>292.76400000000001</v>
      </c>
      <c r="BP11" s="3">
        <v>978.654</v>
      </c>
      <c r="BQ11" s="3">
        <v>981.50900000000001</v>
      </c>
      <c r="BR11" s="3">
        <v>4</v>
      </c>
      <c r="BS11" s="3" t="b">
        <v>0</v>
      </c>
      <c r="BT11" s="3" t="b">
        <v>0</v>
      </c>
      <c r="BU11" s="3" t="s">
        <v>235</v>
      </c>
      <c r="BV11" s="3">
        <f t="shared" si="12"/>
        <v>7</v>
      </c>
      <c r="BW11" s="3">
        <v>7</v>
      </c>
      <c r="BX11" s="3">
        <v>7</v>
      </c>
      <c r="BY11" s="3">
        <v>7</v>
      </c>
      <c r="BZ11" s="3" t="s">
        <v>64</v>
      </c>
      <c r="CA11" s="3" t="s">
        <v>65</v>
      </c>
      <c r="CB11" s="3" t="s">
        <v>65</v>
      </c>
      <c r="CC11" s="3" t="s">
        <v>62</v>
      </c>
      <c r="CD11" s="3" t="s">
        <v>63</v>
      </c>
      <c r="CE11" s="3" t="s">
        <v>65</v>
      </c>
      <c r="CF11" s="3" t="s">
        <v>64</v>
      </c>
      <c r="CG11" s="3" t="s">
        <v>65</v>
      </c>
      <c r="CH11" s="3" t="s">
        <v>62</v>
      </c>
      <c r="CI11" s="3" t="s">
        <v>65</v>
      </c>
      <c r="CJ11" s="3">
        <f t="shared" si="13"/>
        <v>4</v>
      </c>
      <c r="CK11" s="3">
        <f>(VLOOKUP(BZ11,References!$A$1:$C$6,2)+VLOOKUP(CA11,References!$A$1:$C$6,3)+VLOOKUP(CB11,References!$A$1:$C$6,2)+VLOOKUP(CC11,References!$A$1:$C$6,3)+VLOOKUP(CD11,References!$A$1:$C$6,2)+VLOOKUP(CE11,References!$A$1:$C$6,3)+VLOOKUP(CF11,References!$A$1:$C$6,2)+VLOOKUP(CG11,References!$A$1:$C$6,3)+VLOOKUP(CH11,References!$A$1:$C$6,2)+VLOOKUP(CI11,References!$A$1:$C$6,3))*2.5</f>
        <v>35</v>
      </c>
      <c r="CL11" s="1" t="s">
        <v>136</v>
      </c>
      <c r="CM11" s="1" t="s">
        <v>137</v>
      </c>
      <c r="CN11" s="1" t="s">
        <v>138</v>
      </c>
    </row>
    <row r="12" spans="1:92" x14ac:dyDescent="0.25">
      <c r="A12" s="3">
        <v>3392</v>
      </c>
      <c r="B12" s="9" t="s">
        <v>250</v>
      </c>
      <c r="C12" s="4">
        <f t="shared" si="3"/>
        <v>56.533333333333331</v>
      </c>
      <c r="D12" s="4">
        <f t="shared" si="0"/>
        <v>12.879099999999999</v>
      </c>
      <c r="E12" s="3">
        <v>50.427</v>
      </c>
      <c r="F12" s="3">
        <v>818.35199999999998</v>
      </c>
      <c r="G12" s="3">
        <v>823.173</v>
      </c>
      <c r="H12" s="3">
        <v>21</v>
      </c>
      <c r="I12" s="3" t="s">
        <v>83</v>
      </c>
      <c r="J12" s="3" t="s">
        <v>139</v>
      </c>
      <c r="K12" s="3" t="s">
        <v>56</v>
      </c>
      <c r="L12" s="3" t="s">
        <v>57</v>
      </c>
      <c r="M12" s="4">
        <f t="shared" si="1"/>
        <v>0.22146666666666662</v>
      </c>
      <c r="N12" s="3">
        <v>76.546000000000006</v>
      </c>
      <c r="O12" s="3">
        <v>76.546000000000006</v>
      </c>
      <c r="P12" s="3">
        <v>89.834000000000003</v>
      </c>
      <c r="Q12" s="3">
        <v>1</v>
      </c>
      <c r="R12" s="4">
        <f t="shared" si="2"/>
        <v>12.175616666666667</v>
      </c>
      <c r="S12" s="3">
        <v>72.991</v>
      </c>
      <c r="T12" s="3">
        <v>801.05799999999999</v>
      </c>
      <c r="U12" s="3">
        <v>803.52800000000002</v>
      </c>
      <c r="V12" s="3">
        <v>27</v>
      </c>
      <c r="W12" s="3" t="b">
        <v>1</v>
      </c>
      <c r="X12" s="3" t="b">
        <v>0</v>
      </c>
      <c r="Y12" s="3" t="s">
        <v>235</v>
      </c>
      <c r="Z12" s="4">
        <f t="shared" si="4"/>
        <v>6.666666666666667</v>
      </c>
      <c r="AA12" s="3">
        <v>6</v>
      </c>
      <c r="AB12" s="3">
        <v>7</v>
      </c>
      <c r="AC12" s="3">
        <v>7</v>
      </c>
      <c r="AD12" s="4">
        <f t="shared" si="5"/>
        <v>8.7749666666666659</v>
      </c>
      <c r="AE12" s="3">
        <v>57.988999999999997</v>
      </c>
      <c r="AF12" s="3">
        <v>552.25900000000001</v>
      </c>
      <c r="AG12" s="3">
        <v>584.48699999999997</v>
      </c>
      <c r="AH12" s="3">
        <v>26</v>
      </c>
      <c r="AI12" s="3" t="b">
        <v>1</v>
      </c>
      <c r="AJ12" s="3" t="b">
        <v>0</v>
      </c>
      <c r="AK12" s="3" t="s">
        <v>235</v>
      </c>
      <c r="AL12" s="4">
        <f t="shared" si="6"/>
        <v>2</v>
      </c>
      <c r="AM12" s="3">
        <v>1</v>
      </c>
      <c r="AN12" s="3">
        <v>1</v>
      </c>
      <c r="AO12" s="3">
        <v>4</v>
      </c>
      <c r="AP12" s="4">
        <f t="shared" si="7"/>
        <v>1.2277833333333334</v>
      </c>
      <c r="AQ12" s="3">
        <v>30.337</v>
      </c>
      <c r="AR12" s="3">
        <v>82.323999999999998</v>
      </c>
      <c r="AS12" s="3">
        <v>104.004</v>
      </c>
      <c r="AT12" s="3">
        <v>9</v>
      </c>
      <c r="AU12" s="3" t="b">
        <v>1</v>
      </c>
      <c r="AV12" s="3" t="b">
        <v>0</v>
      </c>
      <c r="AW12" s="3" t="s">
        <v>235</v>
      </c>
      <c r="AX12" s="4">
        <f t="shared" si="8"/>
        <v>4</v>
      </c>
      <c r="AY12" s="3">
        <v>4</v>
      </c>
      <c r="AZ12" s="3">
        <v>4</v>
      </c>
      <c r="BA12" s="3">
        <v>4</v>
      </c>
      <c r="BB12" s="4">
        <f t="shared" si="9"/>
        <v>5.9880166666666668</v>
      </c>
      <c r="BC12" s="3">
        <v>2.6949999999999998</v>
      </c>
      <c r="BD12" s="3">
        <v>357.983</v>
      </c>
      <c r="BE12" s="3">
        <v>361.976</v>
      </c>
      <c r="BF12" s="3">
        <v>20</v>
      </c>
      <c r="BG12" s="3" t="b">
        <v>1</v>
      </c>
      <c r="BH12" s="3" t="b">
        <v>1</v>
      </c>
      <c r="BI12" s="3" t="s">
        <v>235</v>
      </c>
      <c r="BJ12" s="4">
        <f t="shared" si="10"/>
        <v>5</v>
      </c>
      <c r="BK12" s="3">
        <v>5</v>
      </c>
      <c r="BL12" s="3">
        <v>5</v>
      </c>
      <c r="BM12" s="3">
        <v>5</v>
      </c>
      <c r="BN12" s="4">
        <f t="shared" si="11"/>
        <v>2.9679833333333336</v>
      </c>
      <c r="BO12" s="3">
        <v>2.036</v>
      </c>
      <c r="BP12" s="3">
        <v>178.358</v>
      </c>
      <c r="BQ12" s="3">
        <v>180.11500000000001</v>
      </c>
      <c r="BR12" s="3">
        <v>14</v>
      </c>
      <c r="BS12" s="3" t="b">
        <v>1</v>
      </c>
      <c r="BT12" s="3" t="b">
        <v>0</v>
      </c>
      <c r="BU12" s="3" t="s">
        <v>235</v>
      </c>
      <c r="BV12" s="3">
        <f t="shared" si="12"/>
        <v>5</v>
      </c>
      <c r="BW12" s="3">
        <v>5</v>
      </c>
      <c r="BX12" s="3">
        <v>5</v>
      </c>
      <c r="BY12" s="3">
        <v>5</v>
      </c>
      <c r="BZ12" s="3" t="s">
        <v>64</v>
      </c>
      <c r="CA12" s="3" t="s">
        <v>65</v>
      </c>
      <c r="CB12" s="3" t="s">
        <v>63</v>
      </c>
      <c r="CC12" s="3" t="s">
        <v>64</v>
      </c>
      <c r="CD12" s="3" t="s">
        <v>64</v>
      </c>
      <c r="CE12" s="3" t="s">
        <v>63</v>
      </c>
      <c r="CF12" s="3" t="s">
        <v>62</v>
      </c>
      <c r="CG12" s="3" t="s">
        <v>62</v>
      </c>
      <c r="CH12" s="3" t="s">
        <v>64</v>
      </c>
      <c r="CI12" s="3" t="s">
        <v>62</v>
      </c>
      <c r="CJ12" s="3">
        <f t="shared" si="13"/>
        <v>1</v>
      </c>
      <c r="CK12" s="3">
        <f>(VLOOKUP(BZ12,References!$A$1:$C$6,2)+VLOOKUP(CA12,References!$A$1:$C$6,3)+VLOOKUP(CB12,References!$A$1:$C$6,2)+VLOOKUP(CC12,References!$A$1:$C$6,3)+VLOOKUP(CD12,References!$A$1:$C$6,2)+VLOOKUP(CE12,References!$A$1:$C$6,3)+VLOOKUP(CF12,References!$A$1:$C$6,2)+VLOOKUP(CG12,References!$A$1:$C$6,3)+VLOOKUP(CH12,References!$A$1:$C$6,2)+VLOOKUP(CI12,References!$A$1:$C$6,3))*2.5</f>
        <v>47.5</v>
      </c>
      <c r="CL12" s="1" t="s">
        <v>144</v>
      </c>
      <c r="CM12" s="1" t="s">
        <v>145</v>
      </c>
      <c r="CN12" s="1"/>
    </row>
    <row r="13" spans="1:92" x14ac:dyDescent="0.25">
      <c r="A13" s="3">
        <v>2395</v>
      </c>
      <c r="B13" s="9" t="s">
        <v>251</v>
      </c>
      <c r="C13" s="4">
        <f t="shared" si="3"/>
        <v>39.916666666666664</v>
      </c>
      <c r="D13" s="4">
        <f t="shared" si="0"/>
        <v>1.1130666666666664</v>
      </c>
      <c r="E13" s="3">
        <v>3.6110000000000002</v>
      </c>
      <c r="F13" s="3">
        <v>62.607999999999997</v>
      </c>
      <c r="G13" s="3">
        <v>70.394999999999996</v>
      </c>
      <c r="H13" s="3">
        <v>10</v>
      </c>
      <c r="I13" s="3" t="s">
        <v>83</v>
      </c>
      <c r="J13" s="3" t="s">
        <v>139</v>
      </c>
      <c r="K13" s="3" t="s">
        <v>56</v>
      </c>
      <c r="L13" s="3" t="s">
        <v>57</v>
      </c>
      <c r="M13" s="4">
        <f t="shared" si="1"/>
        <v>1.01725</v>
      </c>
      <c r="N13" s="3">
        <v>0</v>
      </c>
      <c r="O13" s="3">
        <v>0</v>
      </c>
      <c r="P13" s="3">
        <v>61.034999999999997</v>
      </c>
      <c r="Q13" s="3">
        <v>0</v>
      </c>
      <c r="R13" s="4">
        <f t="shared" si="2"/>
        <v>0.76388333333333336</v>
      </c>
      <c r="S13" s="3">
        <v>124.006</v>
      </c>
      <c r="T13" s="3">
        <v>127.01600000000001</v>
      </c>
      <c r="U13" s="3">
        <v>169.839</v>
      </c>
      <c r="V13" s="3">
        <v>3</v>
      </c>
      <c r="W13" s="3" t="b">
        <v>1</v>
      </c>
      <c r="X13" s="3" t="b">
        <v>1</v>
      </c>
      <c r="Y13" s="3" t="s">
        <v>234</v>
      </c>
      <c r="Z13" s="4">
        <f t="shared" si="4"/>
        <v>7</v>
      </c>
      <c r="AA13" s="3">
        <v>7</v>
      </c>
      <c r="AB13" s="3">
        <v>7</v>
      </c>
      <c r="AC13" s="3">
        <v>7</v>
      </c>
      <c r="AD13" s="4">
        <f t="shared" si="5"/>
        <v>3.9636666666666667</v>
      </c>
      <c r="AE13" s="3">
        <v>26.202000000000002</v>
      </c>
      <c r="AF13" s="3">
        <v>259.834</v>
      </c>
      <c r="AG13" s="3">
        <v>264.02199999999999</v>
      </c>
      <c r="AH13" s="3">
        <v>5</v>
      </c>
      <c r="AI13" s="3" t="b">
        <v>1</v>
      </c>
      <c r="AJ13" s="3" t="b">
        <v>1</v>
      </c>
      <c r="AK13" s="3" t="s">
        <v>234</v>
      </c>
      <c r="AL13" s="4">
        <f t="shared" si="6"/>
        <v>7</v>
      </c>
      <c r="AM13" s="3">
        <v>7</v>
      </c>
      <c r="AN13" s="3">
        <v>7</v>
      </c>
      <c r="AO13" s="3">
        <v>7</v>
      </c>
      <c r="AP13" s="4">
        <f t="shared" si="7"/>
        <v>10.460433333333333</v>
      </c>
      <c r="AQ13" s="3">
        <v>37.871000000000002</v>
      </c>
      <c r="AR13" s="3">
        <v>560.73599999999999</v>
      </c>
      <c r="AS13" s="3">
        <v>665.49699999999996</v>
      </c>
      <c r="AT13" s="3">
        <v>17</v>
      </c>
      <c r="AU13" s="3" t="b">
        <v>1</v>
      </c>
      <c r="AV13" s="3" t="b">
        <v>1</v>
      </c>
      <c r="AW13" s="3" t="s">
        <v>234</v>
      </c>
      <c r="AX13" s="4">
        <f t="shared" si="8"/>
        <v>6</v>
      </c>
      <c r="AY13" s="3">
        <v>6</v>
      </c>
      <c r="AZ13" s="3">
        <v>6</v>
      </c>
      <c r="BA13" s="3">
        <v>6</v>
      </c>
      <c r="BB13" s="4">
        <f t="shared" si="9"/>
        <v>3.0015833333333335</v>
      </c>
      <c r="BC13" s="3">
        <v>129.1</v>
      </c>
      <c r="BD13" s="3">
        <v>305.78800000000001</v>
      </c>
      <c r="BE13" s="3">
        <v>309.19499999999999</v>
      </c>
      <c r="BF13" s="3">
        <v>4</v>
      </c>
      <c r="BG13" s="3" t="b">
        <v>1</v>
      </c>
      <c r="BH13" s="3" t="b">
        <v>1</v>
      </c>
      <c r="BI13" s="3" t="s">
        <v>235</v>
      </c>
      <c r="BJ13" s="4">
        <f t="shared" si="10"/>
        <v>6</v>
      </c>
      <c r="BK13" s="3">
        <v>6</v>
      </c>
      <c r="BL13" s="3">
        <v>6</v>
      </c>
      <c r="BM13" s="3">
        <v>6</v>
      </c>
      <c r="BN13" s="4">
        <f t="shared" si="11"/>
        <v>8.6557500000000012</v>
      </c>
      <c r="BO13" s="3">
        <v>53.600999999999999</v>
      </c>
      <c r="BP13" s="3">
        <v>561.69500000000005</v>
      </c>
      <c r="BQ13" s="3">
        <v>572.94600000000003</v>
      </c>
      <c r="BR13" s="3">
        <v>16</v>
      </c>
      <c r="BS13" s="3" t="b">
        <v>1</v>
      </c>
      <c r="BT13" s="3" t="b">
        <v>1</v>
      </c>
      <c r="BU13" s="3" t="s">
        <v>234</v>
      </c>
      <c r="BV13" s="3">
        <f t="shared" si="12"/>
        <v>6</v>
      </c>
      <c r="BW13" s="3">
        <v>6</v>
      </c>
      <c r="BX13" s="3">
        <v>6</v>
      </c>
      <c r="BY13" s="3">
        <v>6</v>
      </c>
      <c r="BZ13" s="3" t="s">
        <v>78</v>
      </c>
      <c r="CA13" s="3" t="s">
        <v>63</v>
      </c>
      <c r="CB13" s="3" t="s">
        <v>65</v>
      </c>
      <c r="CC13" s="3" t="s">
        <v>62</v>
      </c>
      <c r="CD13" s="3" t="s">
        <v>78</v>
      </c>
      <c r="CE13" s="3" t="s">
        <v>63</v>
      </c>
      <c r="CF13" s="3" t="s">
        <v>65</v>
      </c>
      <c r="CG13" s="3" t="s">
        <v>62</v>
      </c>
      <c r="CH13" s="3" t="s">
        <v>65</v>
      </c>
      <c r="CI13" s="3" t="s">
        <v>63</v>
      </c>
      <c r="CJ13" s="3">
        <f t="shared" si="13"/>
        <v>5</v>
      </c>
      <c r="CK13" s="3">
        <f>(VLOOKUP(BZ13,References!$A$1:$C$6,2)+VLOOKUP(CA13,References!$A$1:$C$6,3)+VLOOKUP(CB13,References!$A$1:$C$6,2)+VLOOKUP(CC13,References!$A$1:$C$6,3)+VLOOKUP(CD13,References!$A$1:$C$6,2)+VLOOKUP(CE13,References!$A$1:$C$6,3)+VLOOKUP(CF13,References!$A$1:$C$6,2)+VLOOKUP(CG13,References!$A$1:$C$6,3)+VLOOKUP(CH13,References!$A$1:$C$6,2)+VLOOKUP(CI13,References!$A$1:$C$6,3))*2.5</f>
        <v>70</v>
      </c>
      <c r="CL13" s="1" t="s">
        <v>151</v>
      </c>
      <c r="CM13" s="1" t="s">
        <v>152</v>
      </c>
      <c r="CN13" s="1" t="s">
        <v>153</v>
      </c>
    </row>
    <row r="14" spans="1:92" ht="45" x14ac:dyDescent="0.25">
      <c r="A14" s="3">
        <v>3511</v>
      </c>
      <c r="B14" s="9" t="s">
        <v>252</v>
      </c>
      <c r="C14" s="4">
        <f t="shared" si="3"/>
        <v>58.516666666666666</v>
      </c>
      <c r="D14" s="4">
        <f t="shared" si="0"/>
        <v>0.85781666666666667</v>
      </c>
      <c r="E14" s="3">
        <v>4.2380000000000004</v>
      </c>
      <c r="F14" s="3">
        <v>50.832000000000001</v>
      </c>
      <c r="G14" s="3">
        <v>55.707000000000001</v>
      </c>
      <c r="H14" s="3">
        <v>7</v>
      </c>
      <c r="I14" s="3" t="s">
        <v>83</v>
      </c>
      <c r="J14" s="3" t="s">
        <v>94</v>
      </c>
      <c r="K14" s="3" t="s">
        <v>56</v>
      </c>
      <c r="L14" s="3" t="s">
        <v>57</v>
      </c>
      <c r="M14" s="4">
        <f t="shared" si="1"/>
        <v>0.42911666666666665</v>
      </c>
      <c r="N14" s="3">
        <v>1.4</v>
      </c>
      <c r="O14" s="3">
        <v>17.193999999999999</v>
      </c>
      <c r="P14" s="3">
        <v>27.146999999999998</v>
      </c>
      <c r="Q14" s="3">
        <v>7</v>
      </c>
      <c r="R14" s="4">
        <f t="shared" si="2"/>
        <v>2.4739666666666671</v>
      </c>
      <c r="S14" s="3">
        <v>2.403</v>
      </c>
      <c r="T14" s="3">
        <v>141.04</v>
      </c>
      <c r="U14" s="3">
        <v>150.84100000000001</v>
      </c>
      <c r="V14" s="3">
        <v>7</v>
      </c>
      <c r="W14" s="3" t="b">
        <v>1</v>
      </c>
      <c r="X14" s="3" t="b">
        <v>1</v>
      </c>
      <c r="Y14" s="3" t="s">
        <v>234</v>
      </c>
      <c r="Z14" s="4">
        <f t="shared" si="4"/>
        <v>7</v>
      </c>
      <c r="AA14" s="3">
        <v>7</v>
      </c>
      <c r="AB14" s="3">
        <v>7</v>
      </c>
      <c r="AC14" s="3">
        <v>7</v>
      </c>
      <c r="AD14" s="4">
        <f t="shared" si="5"/>
        <v>16.632300000000001</v>
      </c>
      <c r="AE14" s="3">
        <v>16.204999999999998</v>
      </c>
      <c r="AF14" s="3">
        <v>993.55399999999997</v>
      </c>
      <c r="AG14" s="3">
        <v>1014.143</v>
      </c>
      <c r="AH14" s="3">
        <v>48</v>
      </c>
      <c r="AI14" s="3" t="b">
        <v>1</v>
      </c>
      <c r="AJ14" s="3" t="b">
        <v>1</v>
      </c>
      <c r="AK14" s="3" t="s">
        <v>234</v>
      </c>
      <c r="AL14" s="4">
        <f t="shared" si="6"/>
        <v>6.666666666666667</v>
      </c>
      <c r="AM14" s="3">
        <v>7</v>
      </c>
      <c r="AN14" s="3">
        <v>6</v>
      </c>
      <c r="AO14" s="3">
        <v>7</v>
      </c>
      <c r="AP14" s="4">
        <f t="shared" si="7"/>
        <v>10.07025</v>
      </c>
      <c r="AQ14" s="3">
        <v>1.61</v>
      </c>
      <c r="AR14" s="3">
        <v>599.548</v>
      </c>
      <c r="AS14" s="3">
        <v>605.82500000000005</v>
      </c>
      <c r="AT14" s="3">
        <v>24</v>
      </c>
      <c r="AU14" s="3" t="b">
        <v>1</v>
      </c>
      <c r="AV14" s="3" t="b">
        <v>1</v>
      </c>
      <c r="AW14" s="3" t="s">
        <v>234</v>
      </c>
      <c r="AX14" s="4">
        <f t="shared" si="8"/>
        <v>6</v>
      </c>
      <c r="AY14" s="3">
        <v>6</v>
      </c>
      <c r="AZ14" s="3">
        <v>5</v>
      </c>
      <c r="BA14" s="3">
        <v>7</v>
      </c>
      <c r="BB14" s="4">
        <f t="shared" si="9"/>
        <v>12.6988</v>
      </c>
      <c r="BC14" s="3">
        <v>1.6579999999999999</v>
      </c>
      <c r="BD14" s="3">
        <v>758.01499999999999</v>
      </c>
      <c r="BE14" s="3">
        <v>763.58600000000001</v>
      </c>
      <c r="BF14" s="3">
        <v>68</v>
      </c>
      <c r="BG14" s="3" t="b">
        <v>1</v>
      </c>
      <c r="BH14" s="3" t="b">
        <v>1</v>
      </c>
      <c r="BI14" s="3" t="s">
        <v>234</v>
      </c>
      <c r="BJ14" s="4">
        <f t="shared" si="10"/>
        <v>5</v>
      </c>
      <c r="BK14" s="3">
        <v>5</v>
      </c>
      <c r="BL14" s="3">
        <v>5</v>
      </c>
      <c r="BM14" s="3">
        <v>5</v>
      </c>
      <c r="BN14" s="4">
        <f t="shared" si="11"/>
        <v>3.8229666666666664</v>
      </c>
      <c r="BO14" s="3">
        <v>6.6369999999999996</v>
      </c>
      <c r="BP14" s="3">
        <v>218.97300000000001</v>
      </c>
      <c r="BQ14" s="3">
        <v>236.01499999999999</v>
      </c>
      <c r="BR14" s="3">
        <v>18</v>
      </c>
      <c r="BS14" s="3" t="b">
        <v>1</v>
      </c>
      <c r="BT14" s="3" t="b">
        <v>1</v>
      </c>
      <c r="BU14" s="3" t="s">
        <v>234</v>
      </c>
      <c r="BV14" s="3">
        <f t="shared" si="12"/>
        <v>7</v>
      </c>
      <c r="BW14" s="3">
        <v>7</v>
      </c>
      <c r="BX14" s="3">
        <v>7</v>
      </c>
      <c r="BY14" s="3">
        <v>7</v>
      </c>
      <c r="BZ14" s="3" t="s">
        <v>65</v>
      </c>
      <c r="CA14" s="3" t="s">
        <v>62</v>
      </c>
      <c r="CB14" s="3" t="s">
        <v>65</v>
      </c>
      <c r="CC14" s="3" t="s">
        <v>63</v>
      </c>
      <c r="CD14" s="3" t="s">
        <v>65</v>
      </c>
      <c r="CE14" s="3" t="s">
        <v>63</v>
      </c>
      <c r="CF14" s="3" t="s">
        <v>78</v>
      </c>
      <c r="CG14" s="3" t="s">
        <v>62</v>
      </c>
      <c r="CH14" s="3" t="s">
        <v>65</v>
      </c>
      <c r="CI14" s="3" t="s">
        <v>63</v>
      </c>
      <c r="CJ14" s="3">
        <f t="shared" si="13"/>
        <v>5</v>
      </c>
      <c r="CK14" s="3">
        <f>(VLOOKUP(BZ14,References!$A$1:$C$6,2)+VLOOKUP(CA14,References!$A$1:$C$6,3)+VLOOKUP(CB14,References!$A$1:$C$6,2)+VLOOKUP(CC14,References!$A$1:$C$6,3)+VLOOKUP(CD14,References!$A$1:$C$6,2)+VLOOKUP(CE14,References!$A$1:$C$6,3)+VLOOKUP(CF14,References!$A$1:$C$6,2)+VLOOKUP(CG14,References!$A$1:$C$6,3)+VLOOKUP(CH14,References!$A$1:$C$6,2)+VLOOKUP(CI14,References!$A$1:$C$6,3))*2.5</f>
        <v>75</v>
      </c>
      <c r="CL14" s="1" t="s">
        <v>159</v>
      </c>
      <c r="CM14" s="1" t="s">
        <v>160</v>
      </c>
      <c r="CN14" s="1"/>
    </row>
    <row r="15" spans="1:92" ht="30" x14ac:dyDescent="0.25">
      <c r="A15" s="3">
        <v>4717</v>
      </c>
      <c r="B15" s="9" t="s">
        <v>253</v>
      </c>
      <c r="C15" s="4">
        <f t="shared" si="3"/>
        <v>78.61666666666666</v>
      </c>
      <c r="D15" s="4">
        <f t="shared" si="0"/>
        <v>1.3569666666666669</v>
      </c>
      <c r="E15" s="3">
        <v>15.752000000000001</v>
      </c>
      <c r="F15" s="3">
        <v>95.3</v>
      </c>
      <c r="G15" s="3">
        <v>97.17</v>
      </c>
      <c r="H15" s="3">
        <v>12</v>
      </c>
      <c r="I15" s="3" t="s">
        <v>83</v>
      </c>
      <c r="J15" s="3" t="s">
        <v>139</v>
      </c>
      <c r="K15" s="3" t="s">
        <v>56</v>
      </c>
      <c r="L15" s="3" t="s">
        <v>57</v>
      </c>
      <c r="M15" s="4">
        <f t="shared" si="1"/>
        <v>8.4283333333333363E-2</v>
      </c>
      <c r="N15" s="3">
        <v>32.521000000000001</v>
      </c>
      <c r="O15" s="3">
        <v>32.521000000000001</v>
      </c>
      <c r="P15" s="3">
        <v>37.578000000000003</v>
      </c>
      <c r="Q15" s="3">
        <v>1</v>
      </c>
      <c r="R15" s="4">
        <f t="shared" si="2"/>
        <v>0.55946666666666667</v>
      </c>
      <c r="S15" s="3">
        <v>109.395</v>
      </c>
      <c r="T15" s="3">
        <v>140.17500000000001</v>
      </c>
      <c r="U15" s="3">
        <v>142.96299999999999</v>
      </c>
      <c r="V15" s="3">
        <v>10</v>
      </c>
      <c r="W15" s="3" t="b">
        <v>1</v>
      </c>
      <c r="X15" s="3" t="b">
        <v>1</v>
      </c>
      <c r="Y15" s="3" t="s">
        <v>234</v>
      </c>
      <c r="Z15" s="4">
        <f t="shared" si="4"/>
        <v>7</v>
      </c>
      <c r="AA15" s="3">
        <v>7</v>
      </c>
      <c r="AB15" s="3">
        <v>7</v>
      </c>
      <c r="AC15" s="3">
        <v>7</v>
      </c>
      <c r="AD15" s="4">
        <f t="shared" si="5"/>
        <v>1.016216666666667</v>
      </c>
      <c r="AE15" s="3">
        <v>79.397999999999996</v>
      </c>
      <c r="AF15" s="3">
        <v>136.607</v>
      </c>
      <c r="AG15" s="3">
        <v>140.37100000000001</v>
      </c>
      <c r="AH15" s="3">
        <v>10</v>
      </c>
      <c r="AI15" s="3" t="b">
        <v>1</v>
      </c>
      <c r="AJ15" s="3" t="b">
        <v>1</v>
      </c>
      <c r="AK15" s="3" t="s">
        <v>234</v>
      </c>
      <c r="AL15" s="4">
        <f t="shared" si="6"/>
        <v>7</v>
      </c>
      <c r="AM15" s="3">
        <v>7</v>
      </c>
      <c r="AN15" s="3">
        <v>7</v>
      </c>
      <c r="AO15" s="3">
        <v>7</v>
      </c>
      <c r="AP15" s="4">
        <f t="shared" si="7"/>
        <v>39.197033333333337</v>
      </c>
      <c r="AQ15" s="3">
        <v>50.38</v>
      </c>
      <c r="AR15" s="3">
        <v>2400.1</v>
      </c>
      <c r="AS15" s="3">
        <v>2402.2020000000002</v>
      </c>
      <c r="AT15" s="3">
        <v>136</v>
      </c>
      <c r="AU15" s="3" t="b">
        <v>1</v>
      </c>
      <c r="AV15" s="3" t="b">
        <v>1</v>
      </c>
      <c r="AW15" s="3" t="s">
        <v>235</v>
      </c>
      <c r="AX15" s="4">
        <f t="shared" si="8"/>
        <v>7</v>
      </c>
      <c r="AY15" s="3">
        <v>7</v>
      </c>
      <c r="AZ15" s="3">
        <v>7</v>
      </c>
      <c r="BA15" s="3">
        <v>7</v>
      </c>
      <c r="BB15" s="4">
        <f t="shared" si="9"/>
        <v>0.3389833333333333</v>
      </c>
      <c r="BC15" s="3">
        <v>50.802999999999997</v>
      </c>
      <c r="BD15" s="3">
        <v>67.534000000000006</v>
      </c>
      <c r="BE15" s="3">
        <v>71.141999999999996</v>
      </c>
      <c r="BF15" s="3">
        <v>4</v>
      </c>
      <c r="BG15" s="3" t="b">
        <v>1</v>
      </c>
      <c r="BH15" s="3" t="b">
        <v>1</v>
      </c>
      <c r="BI15" s="3" t="s">
        <v>234</v>
      </c>
      <c r="BJ15" s="4">
        <f t="shared" si="10"/>
        <v>7</v>
      </c>
      <c r="BK15" s="3">
        <v>7</v>
      </c>
      <c r="BL15" s="3">
        <v>7</v>
      </c>
      <c r="BM15" s="3">
        <v>7</v>
      </c>
      <c r="BN15" s="4">
        <f t="shared" si="11"/>
        <v>18.084466666666668</v>
      </c>
      <c r="BO15" s="3">
        <v>25.748999999999999</v>
      </c>
      <c r="BP15" s="3">
        <v>1107.049</v>
      </c>
      <c r="BQ15" s="3">
        <v>1110.817</v>
      </c>
      <c r="BR15" s="3">
        <v>64</v>
      </c>
      <c r="BS15" s="3" t="b">
        <v>0</v>
      </c>
      <c r="BT15" s="3" t="b">
        <v>0</v>
      </c>
      <c r="BU15" s="3" t="s">
        <v>235</v>
      </c>
      <c r="BV15" s="3">
        <f t="shared" si="12"/>
        <v>6</v>
      </c>
      <c r="BW15" s="3">
        <v>7</v>
      </c>
      <c r="BX15" s="3">
        <v>4</v>
      </c>
      <c r="BY15" s="3">
        <v>7</v>
      </c>
      <c r="BZ15" s="3" t="s">
        <v>78</v>
      </c>
      <c r="CA15" s="3" t="s">
        <v>62</v>
      </c>
      <c r="CB15" s="3" t="s">
        <v>78</v>
      </c>
      <c r="CC15" s="3" t="s">
        <v>62</v>
      </c>
      <c r="CD15" s="3" t="s">
        <v>78</v>
      </c>
      <c r="CE15" s="3" t="s">
        <v>62</v>
      </c>
      <c r="CF15" s="3" t="s">
        <v>78</v>
      </c>
      <c r="CG15" s="3" t="s">
        <v>62</v>
      </c>
      <c r="CH15" s="3" t="s">
        <v>65</v>
      </c>
      <c r="CI15" s="3" t="s">
        <v>62</v>
      </c>
      <c r="CJ15" s="3">
        <f t="shared" si="13"/>
        <v>4</v>
      </c>
      <c r="CK15" s="3">
        <f>(VLOOKUP(BZ15,References!$A$1:$C$6,2)+VLOOKUP(CA15,References!$A$1:$C$6,3)+VLOOKUP(CB15,References!$A$1:$C$6,2)+VLOOKUP(CC15,References!$A$1:$C$6,3)+VLOOKUP(CD15,References!$A$1:$C$6,2)+VLOOKUP(CE15,References!$A$1:$C$6,3)+VLOOKUP(CF15,References!$A$1:$C$6,2)+VLOOKUP(CG15,References!$A$1:$C$6,3)+VLOOKUP(CH15,References!$A$1:$C$6,2)+VLOOKUP(CI15,References!$A$1:$C$6,3))*2.5</f>
        <v>67.5</v>
      </c>
      <c r="CL15" s="1" t="s">
        <v>162</v>
      </c>
      <c r="CM15" s="1" t="s">
        <v>163</v>
      </c>
      <c r="CN15" s="1"/>
    </row>
    <row r="16" spans="1:92" ht="30" x14ac:dyDescent="0.25">
      <c r="A16" s="3">
        <v>2815</v>
      </c>
      <c r="B16" s="9" t="s">
        <v>254</v>
      </c>
      <c r="C16" s="4">
        <f t="shared" si="3"/>
        <v>46.916666666666664</v>
      </c>
      <c r="D16" s="4">
        <f t="shared" si="0"/>
        <v>1.6023500000000002</v>
      </c>
      <c r="E16" s="3">
        <v>7.9050000000000002</v>
      </c>
      <c r="F16" s="3">
        <v>99.896000000000001</v>
      </c>
      <c r="G16" s="3">
        <v>104.04600000000001</v>
      </c>
      <c r="H16" s="3">
        <v>9</v>
      </c>
      <c r="I16" s="3" t="s">
        <v>83</v>
      </c>
      <c r="J16" s="3" t="s">
        <v>139</v>
      </c>
      <c r="K16" s="3" t="s">
        <v>72</v>
      </c>
      <c r="L16" s="3" t="s">
        <v>84</v>
      </c>
      <c r="M16" s="4">
        <f t="shared" si="1"/>
        <v>0.26346666666666663</v>
      </c>
      <c r="N16" s="3">
        <v>18.047000000000001</v>
      </c>
      <c r="O16" s="3">
        <v>18.047000000000001</v>
      </c>
      <c r="P16" s="3">
        <v>33.854999999999997</v>
      </c>
      <c r="Q16" s="3">
        <v>1</v>
      </c>
      <c r="R16" s="4">
        <f t="shared" si="2"/>
        <v>0.23546666666666691</v>
      </c>
      <c r="S16" s="3">
        <v>136.03299999999999</v>
      </c>
      <c r="T16" s="3">
        <v>136.03299999999999</v>
      </c>
      <c r="U16" s="3">
        <v>150.161</v>
      </c>
      <c r="V16" s="3">
        <v>1</v>
      </c>
      <c r="W16" s="3" t="b">
        <v>1</v>
      </c>
      <c r="X16" s="3" t="b">
        <v>1</v>
      </c>
      <c r="Y16" s="3" t="s">
        <v>235</v>
      </c>
      <c r="Z16" s="4">
        <f t="shared" si="4"/>
        <v>6.333333333333333</v>
      </c>
      <c r="AA16" s="3">
        <v>6</v>
      </c>
      <c r="AB16" s="3">
        <v>7</v>
      </c>
      <c r="AC16" s="3">
        <v>6</v>
      </c>
      <c r="AD16" s="4">
        <f t="shared" si="5"/>
        <v>2.4004499999999998</v>
      </c>
      <c r="AE16" s="3">
        <v>16.36</v>
      </c>
      <c r="AF16" s="3">
        <v>153.54400000000001</v>
      </c>
      <c r="AG16" s="3">
        <v>160.387</v>
      </c>
      <c r="AH16" s="3">
        <v>13</v>
      </c>
      <c r="AI16" s="3" t="b">
        <v>1</v>
      </c>
      <c r="AJ16" s="3" t="b">
        <v>1</v>
      </c>
      <c r="AK16" s="3" t="s">
        <v>234</v>
      </c>
      <c r="AL16" s="4">
        <f t="shared" si="6"/>
        <v>6.666666666666667</v>
      </c>
      <c r="AM16" s="3">
        <v>7</v>
      </c>
      <c r="AN16" s="3">
        <v>7</v>
      </c>
      <c r="AO16" s="3">
        <v>6</v>
      </c>
      <c r="AP16" s="4">
        <f t="shared" si="7"/>
        <v>2.9183499999999998</v>
      </c>
      <c r="AQ16" s="3">
        <v>32.459000000000003</v>
      </c>
      <c r="AR16" s="3">
        <v>201.565</v>
      </c>
      <c r="AS16" s="3">
        <v>207.56</v>
      </c>
      <c r="AT16" s="3">
        <v>14</v>
      </c>
      <c r="AU16" s="3" t="b">
        <v>1</v>
      </c>
      <c r="AV16" s="3" t="b">
        <v>1</v>
      </c>
      <c r="AW16" s="3" t="s">
        <v>234</v>
      </c>
      <c r="AX16" s="4">
        <f t="shared" si="8"/>
        <v>5.333333333333333</v>
      </c>
      <c r="AY16" s="3">
        <v>4</v>
      </c>
      <c r="AZ16" s="3">
        <v>5</v>
      </c>
      <c r="BA16" s="3">
        <v>7</v>
      </c>
      <c r="BB16" s="4">
        <f t="shared" si="9"/>
        <v>1.6182666666666667</v>
      </c>
      <c r="BC16" s="3">
        <v>360.17500000000001</v>
      </c>
      <c r="BD16" s="3">
        <v>455.86700000000002</v>
      </c>
      <c r="BE16" s="3">
        <v>457.27100000000002</v>
      </c>
      <c r="BF16" s="3">
        <v>12</v>
      </c>
      <c r="BG16" s="3" t="b">
        <v>1</v>
      </c>
      <c r="BH16" s="3" t="b">
        <v>1</v>
      </c>
      <c r="BI16" s="3" t="s">
        <v>234</v>
      </c>
      <c r="BJ16" s="4">
        <f t="shared" si="10"/>
        <v>6.666666666666667</v>
      </c>
      <c r="BK16" s="3">
        <v>6</v>
      </c>
      <c r="BL16" s="3">
        <v>7</v>
      </c>
      <c r="BM16" s="3">
        <v>7</v>
      </c>
      <c r="BN16" s="4">
        <f t="shared" si="11"/>
        <v>20.176383333333334</v>
      </c>
      <c r="BO16" s="3">
        <v>1.4370000000000001</v>
      </c>
      <c r="BP16" s="3">
        <v>1210.4280000000001</v>
      </c>
      <c r="BQ16" s="3">
        <v>1212.02</v>
      </c>
      <c r="BR16" s="3">
        <v>23</v>
      </c>
      <c r="BS16" s="3" t="b">
        <v>1</v>
      </c>
      <c r="BT16" s="3" t="b">
        <v>0</v>
      </c>
      <c r="BU16" s="3" t="s">
        <v>234</v>
      </c>
      <c r="BV16" s="3">
        <f t="shared" si="12"/>
        <v>1.3333333333333333</v>
      </c>
      <c r="BW16" s="3">
        <v>1</v>
      </c>
      <c r="BX16" s="3">
        <v>1</v>
      </c>
      <c r="BY16" s="3">
        <v>2</v>
      </c>
      <c r="BZ16" s="3" t="s">
        <v>64</v>
      </c>
      <c r="CA16" s="3" t="s">
        <v>65</v>
      </c>
      <c r="CB16" s="3" t="s">
        <v>63</v>
      </c>
      <c r="CC16" s="3" t="s">
        <v>65</v>
      </c>
      <c r="CD16" s="3" t="s">
        <v>65</v>
      </c>
      <c r="CE16" s="3" t="s">
        <v>63</v>
      </c>
      <c r="CF16" s="3" t="s">
        <v>63</v>
      </c>
      <c r="CG16" s="3" t="s">
        <v>65</v>
      </c>
      <c r="CH16" s="3" t="s">
        <v>64</v>
      </c>
      <c r="CI16" s="3" t="s">
        <v>65</v>
      </c>
      <c r="CJ16" s="3">
        <f t="shared" si="13"/>
        <v>4</v>
      </c>
      <c r="CK16" s="3">
        <f>(VLOOKUP(BZ16,References!$A$1:$C$6,2)+VLOOKUP(CA16,References!$A$1:$C$6,3)+VLOOKUP(CB16,References!$A$1:$C$6,2)+VLOOKUP(CC16,References!$A$1:$C$6,3)+VLOOKUP(CD16,References!$A$1:$C$6,2)+VLOOKUP(CE16,References!$A$1:$C$6,3)+VLOOKUP(CF16,References!$A$1:$C$6,2)+VLOOKUP(CG16,References!$A$1:$C$6,3)+VLOOKUP(CH16,References!$A$1:$C$6,2)+VLOOKUP(CI16,References!$A$1:$C$6,3))*2.5</f>
        <v>35</v>
      </c>
      <c r="CL16" s="1" t="s">
        <v>167</v>
      </c>
      <c r="CM16" s="1" t="s">
        <v>168</v>
      </c>
      <c r="CN16" s="1"/>
    </row>
    <row r="17" spans="1:92" ht="30" x14ac:dyDescent="0.25">
      <c r="A17" s="3">
        <v>2053</v>
      </c>
      <c r="B17" s="9" t="s">
        <v>255</v>
      </c>
      <c r="C17" s="4">
        <f t="shared" si="3"/>
        <v>34.216666666666669</v>
      </c>
      <c r="D17" s="4">
        <f t="shared" si="0"/>
        <v>1.4519500000000001</v>
      </c>
      <c r="E17" s="3">
        <v>3.9279999999999999</v>
      </c>
      <c r="F17" s="3">
        <v>83.099000000000004</v>
      </c>
      <c r="G17" s="3">
        <v>91.045000000000002</v>
      </c>
      <c r="H17" s="3">
        <v>11</v>
      </c>
      <c r="I17" s="3" t="s">
        <v>83</v>
      </c>
      <c r="J17" s="3" t="s">
        <v>94</v>
      </c>
      <c r="K17" s="3" t="s">
        <v>56</v>
      </c>
      <c r="L17" s="3" t="s">
        <v>57</v>
      </c>
      <c r="M17" s="4">
        <f t="shared" si="1"/>
        <v>0.12978333333333333</v>
      </c>
      <c r="N17" s="3">
        <v>13.833</v>
      </c>
      <c r="O17" s="3">
        <v>13.833</v>
      </c>
      <c r="P17" s="3">
        <v>21.62</v>
      </c>
      <c r="Q17" s="3">
        <v>1</v>
      </c>
      <c r="R17" s="4">
        <f t="shared" si="2"/>
        <v>1.6006166666666668</v>
      </c>
      <c r="S17" s="3">
        <v>3.4009999999999998</v>
      </c>
      <c r="T17" s="3">
        <v>97.540999999999997</v>
      </c>
      <c r="U17" s="3">
        <v>99.438000000000002</v>
      </c>
      <c r="V17" s="3">
        <v>2</v>
      </c>
      <c r="W17" s="3" t="b">
        <v>1</v>
      </c>
      <c r="X17" s="3" t="b">
        <v>1</v>
      </c>
      <c r="Y17" s="3" t="s">
        <v>235</v>
      </c>
      <c r="Z17" s="4">
        <f t="shared" si="4"/>
        <v>7</v>
      </c>
      <c r="AA17" s="3">
        <v>7</v>
      </c>
      <c r="AB17" s="3">
        <v>7</v>
      </c>
      <c r="AC17" s="3">
        <v>7</v>
      </c>
      <c r="AD17" s="4">
        <f t="shared" si="5"/>
        <v>0.77306666666666657</v>
      </c>
      <c r="AE17" s="3">
        <v>34.389000000000003</v>
      </c>
      <c r="AF17" s="3">
        <v>80.018000000000001</v>
      </c>
      <c r="AG17" s="3">
        <v>80.772999999999996</v>
      </c>
      <c r="AH17" s="3">
        <v>3</v>
      </c>
      <c r="AI17" s="3" t="b">
        <v>1</v>
      </c>
      <c r="AJ17" s="3" t="b">
        <v>1</v>
      </c>
      <c r="AK17" s="3" t="s">
        <v>235</v>
      </c>
      <c r="AL17" s="4">
        <f t="shared" si="6"/>
        <v>6.666666666666667</v>
      </c>
      <c r="AM17" s="3">
        <v>6</v>
      </c>
      <c r="AN17" s="3">
        <v>7</v>
      </c>
      <c r="AO17" s="3">
        <v>7</v>
      </c>
      <c r="AP17" s="4">
        <f t="shared" si="7"/>
        <v>14.227166666666667</v>
      </c>
      <c r="AQ17" s="3">
        <v>69.691999999999993</v>
      </c>
      <c r="AR17" s="3">
        <v>909.01800000000003</v>
      </c>
      <c r="AS17" s="3">
        <v>923.322</v>
      </c>
      <c r="AT17" s="3">
        <v>8</v>
      </c>
      <c r="AU17" s="3" t="b">
        <v>1</v>
      </c>
      <c r="AV17" s="3" t="b">
        <v>1</v>
      </c>
      <c r="AW17" s="3" t="s">
        <v>235</v>
      </c>
      <c r="AX17" s="4">
        <f t="shared" si="8"/>
        <v>6.333333333333333</v>
      </c>
      <c r="AY17" s="3">
        <v>7</v>
      </c>
      <c r="AZ17" s="3">
        <v>6</v>
      </c>
      <c r="BA17" s="3">
        <v>6</v>
      </c>
      <c r="BB17" s="4">
        <f t="shared" si="9"/>
        <v>0.70424999999999993</v>
      </c>
      <c r="BC17" s="3">
        <v>284.43799999999999</v>
      </c>
      <c r="BD17" s="3">
        <v>320.73399999999998</v>
      </c>
      <c r="BE17" s="3">
        <v>326.69299999999998</v>
      </c>
      <c r="BF17" s="3">
        <v>7</v>
      </c>
      <c r="BG17" s="3" t="b">
        <v>1</v>
      </c>
      <c r="BH17" s="3" t="b">
        <v>1</v>
      </c>
      <c r="BI17" s="3" t="s">
        <v>235</v>
      </c>
      <c r="BJ17" s="4">
        <f t="shared" si="10"/>
        <v>6.333333333333333</v>
      </c>
      <c r="BK17" s="3">
        <v>6</v>
      </c>
      <c r="BL17" s="3">
        <v>6</v>
      </c>
      <c r="BM17" s="3">
        <v>7</v>
      </c>
      <c r="BN17" s="4">
        <f t="shared" si="11"/>
        <v>1.1578166666666667</v>
      </c>
      <c r="BO17" s="3">
        <v>109.883</v>
      </c>
      <c r="BP17" s="3">
        <v>177.767</v>
      </c>
      <c r="BQ17" s="3">
        <v>179.352</v>
      </c>
      <c r="BR17" s="3">
        <v>4</v>
      </c>
      <c r="BS17" s="3" t="b">
        <v>1</v>
      </c>
      <c r="BT17" s="3" t="b">
        <v>0</v>
      </c>
      <c r="BU17" s="3" t="s">
        <v>235</v>
      </c>
      <c r="BV17" s="3">
        <f t="shared" si="12"/>
        <v>6.333333333333333</v>
      </c>
      <c r="BW17" s="3">
        <v>6</v>
      </c>
      <c r="BX17" s="3">
        <v>6</v>
      </c>
      <c r="BY17" s="3">
        <v>7</v>
      </c>
      <c r="BZ17" s="3" t="s">
        <v>65</v>
      </c>
      <c r="CA17" s="3" t="s">
        <v>63</v>
      </c>
      <c r="CB17" s="3" t="s">
        <v>65</v>
      </c>
      <c r="CC17" s="3" t="s">
        <v>62</v>
      </c>
      <c r="CD17" s="3" t="s">
        <v>65</v>
      </c>
      <c r="CE17" s="3" t="s">
        <v>63</v>
      </c>
      <c r="CF17" s="3" t="s">
        <v>78</v>
      </c>
      <c r="CG17" s="3" t="s">
        <v>63</v>
      </c>
      <c r="CH17" s="3" t="s">
        <v>65</v>
      </c>
      <c r="CI17" s="3" t="s">
        <v>65</v>
      </c>
      <c r="CJ17" s="3">
        <f t="shared" si="13"/>
        <v>4</v>
      </c>
      <c r="CK17" s="3">
        <f>(VLOOKUP(BZ17,References!$A$1:$C$6,2)+VLOOKUP(CA17,References!$A$1:$C$6,3)+VLOOKUP(CB17,References!$A$1:$C$6,2)+VLOOKUP(CC17,References!$A$1:$C$6,3)+VLOOKUP(CD17,References!$A$1:$C$6,2)+VLOOKUP(CE17,References!$A$1:$C$6,3)+VLOOKUP(CF17,References!$A$1:$C$6,2)+VLOOKUP(CG17,References!$A$1:$C$6,3)+VLOOKUP(CH17,References!$A$1:$C$6,2)+VLOOKUP(CI17,References!$A$1:$C$6,3))*2.5</f>
        <v>67.5</v>
      </c>
      <c r="CL17" s="1" t="s">
        <v>172</v>
      </c>
      <c r="CM17" s="1" t="s">
        <v>173</v>
      </c>
      <c r="CN17" s="1" t="s">
        <v>132</v>
      </c>
    </row>
    <row r="18" spans="1:92" ht="45" x14ac:dyDescent="0.25">
      <c r="A18" s="3">
        <v>542</v>
      </c>
      <c r="B18" s="9" t="s">
        <v>256</v>
      </c>
      <c r="C18" s="4">
        <f t="shared" si="3"/>
        <v>9.0333333333333332</v>
      </c>
      <c r="D18" s="4">
        <f t="shared" si="0"/>
        <v>0.4870166666666666</v>
      </c>
      <c r="E18" s="3">
        <v>17.89</v>
      </c>
      <c r="F18" s="3">
        <v>17.89</v>
      </c>
      <c r="G18" s="3">
        <v>47.110999999999997</v>
      </c>
      <c r="H18" s="3">
        <v>1</v>
      </c>
      <c r="I18" s="3" t="s">
        <v>83</v>
      </c>
      <c r="J18" s="3" t="s">
        <v>139</v>
      </c>
      <c r="K18" s="3" t="s">
        <v>56</v>
      </c>
      <c r="L18" s="3" t="s">
        <v>57</v>
      </c>
      <c r="M18" s="4">
        <f t="shared" si="1"/>
        <v>0.15383333333333335</v>
      </c>
      <c r="N18" s="3">
        <v>0</v>
      </c>
      <c r="O18" s="3">
        <v>0</v>
      </c>
      <c r="P18" s="3">
        <v>9.23</v>
      </c>
      <c r="Q18" s="3">
        <v>0</v>
      </c>
      <c r="R18" s="4">
        <f t="shared" si="2"/>
        <v>0.34389999999999998</v>
      </c>
      <c r="S18" s="3">
        <v>33.735999999999997</v>
      </c>
      <c r="T18" s="3">
        <v>48.633000000000003</v>
      </c>
      <c r="U18" s="3">
        <v>54.37</v>
      </c>
      <c r="V18" s="3">
        <v>2</v>
      </c>
      <c r="W18" s="3" t="b">
        <v>1</v>
      </c>
      <c r="X18" s="3" t="b">
        <v>1</v>
      </c>
      <c r="Y18" s="3" t="s">
        <v>234</v>
      </c>
      <c r="Z18" s="4">
        <f t="shared" si="4"/>
        <v>4.333333333333333</v>
      </c>
      <c r="AA18" s="3">
        <v>4</v>
      </c>
      <c r="AB18" s="3">
        <v>5</v>
      </c>
      <c r="AC18" s="3">
        <v>4</v>
      </c>
      <c r="AD18" s="4">
        <f t="shared" si="5"/>
        <v>1.1014333333333335</v>
      </c>
      <c r="AE18" s="3">
        <v>41.23</v>
      </c>
      <c r="AF18" s="3">
        <v>103.82599999999999</v>
      </c>
      <c r="AG18" s="3">
        <v>107.316</v>
      </c>
      <c r="AH18" s="3">
        <v>4</v>
      </c>
      <c r="AI18" s="3" t="b">
        <v>1</v>
      </c>
      <c r="AJ18" s="3" t="b">
        <v>1</v>
      </c>
      <c r="AK18" s="3" t="s">
        <v>235</v>
      </c>
      <c r="AL18" s="4">
        <f t="shared" si="6"/>
        <v>5.333333333333333</v>
      </c>
      <c r="AM18" s="3">
        <v>6</v>
      </c>
      <c r="AN18" s="3">
        <v>5</v>
      </c>
      <c r="AO18" s="3">
        <v>5</v>
      </c>
      <c r="AP18" s="4">
        <f t="shared" si="7"/>
        <v>0.51475000000000004</v>
      </c>
      <c r="AQ18" s="3">
        <v>5.3490000000000002</v>
      </c>
      <c r="AR18" s="3">
        <v>34.149000000000001</v>
      </c>
      <c r="AS18" s="3">
        <v>36.234000000000002</v>
      </c>
      <c r="AT18" s="3">
        <v>2</v>
      </c>
      <c r="AU18" s="3" t="b">
        <v>1</v>
      </c>
      <c r="AV18" s="3" t="b">
        <v>1</v>
      </c>
      <c r="AW18" s="3" t="s">
        <v>235</v>
      </c>
      <c r="AX18" s="4">
        <f t="shared" si="8"/>
        <v>5.333333333333333</v>
      </c>
      <c r="AY18" s="3">
        <v>6</v>
      </c>
      <c r="AZ18" s="3">
        <v>5</v>
      </c>
      <c r="BA18" s="3">
        <v>5</v>
      </c>
      <c r="BB18" s="4">
        <f t="shared" si="9"/>
        <v>3.7466666666666627E-2</v>
      </c>
      <c r="BC18" s="3">
        <v>30.661999999999999</v>
      </c>
      <c r="BD18" s="3">
        <v>30.661999999999999</v>
      </c>
      <c r="BE18" s="3">
        <v>32.909999999999997</v>
      </c>
      <c r="BF18" s="3">
        <v>1</v>
      </c>
      <c r="BG18" s="3" t="b">
        <v>1</v>
      </c>
      <c r="BH18" s="3" t="b">
        <v>1</v>
      </c>
      <c r="BI18" s="3" t="s">
        <v>235</v>
      </c>
      <c r="BJ18" s="4">
        <f t="shared" si="10"/>
        <v>6.333333333333333</v>
      </c>
      <c r="BK18" s="3">
        <v>6</v>
      </c>
      <c r="BL18" s="3">
        <v>7</v>
      </c>
      <c r="BM18" s="3">
        <v>6</v>
      </c>
      <c r="BN18" s="4">
        <f t="shared" si="11"/>
        <v>3.9783333333333282E-2</v>
      </c>
      <c r="BO18" s="3">
        <v>21.129000000000001</v>
      </c>
      <c r="BP18" s="3">
        <v>21.129000000000001</v>
      </c>
      <c r="BQ18" s="3">
        <v>23.515999999999998</v>
      </c>
      <c r="BR18" s="3">
        <v>1</v>
      </c>
      <c r="BS18" s="3" t="b">
        <v>1</v>
      </c>
      <c r="BT18" s="3" t="b">
        <v>0</v>
      </c>
      <c r="BU18" s="3" t="s">
        <v>235</v>
      </c>
      <c r="BV18" s="3">
        <f t="shared" si="12"/>
        <v>6.666666666666667</v>
      </c>
      <c r="BW18" s="3">
        <v>6</v>
      </c>
      <c r="BX18" s="3">
        <v>7</v>
      </c>
      <c r="BY18" s="3">
        <v>7</v>
      </c>
      <c r="BZ18" s="3" t="s">
        <v>65</v>
      </c>
      <c r="CA18" s="3" t="s">
        <v>64</v>
      </c>
      <c r="CB18" s="3" t="s">
        <v>65</v>
      </c>
      <c r="CC18" s="3" t="s">
        <v>63</v>
      </c>
      <c r="CD18" s="3" t="s">
        <v>65</v>
      </c>
      <c r="CE18" s="3" t="s">
        <v>63</v>
      </c>
      <c r="CF18" s="3" t="s">
        <v>65</v>
      </c>
      <c r="CG18" s="3" t="s">
        <v>63</v>
      </c>
      <c r="CH18" s="3" t="s">
        <v>78</v>
      </c>
      <c r="CI18" s="3" t="s">
        <v>64</v>
      </c>
      <c r="CJ18" s="3">
        <f t="shared" si="13"/>
        <v>4</v>
      </c>
      <c r="CK18" s="3">
        <f>(VLOOKUP(BZ18,References!$A$1:$C$6,2)+VLOOKUP(CA18,References!$A$1:$C$6,3)+VLOOKUP(CB18,References!$A$1:$C$6,2)+VLOOKUP(CC18,References!$A$1:$C$6,3)+VLOOKUP(CD18,References!$A$1:$C$6,2)+VLOOKUP(CE18,References!$A$1:$C$6,3)+VLOOKUP(CF18,References!$A$1:$C$6,2)+VLOOKUP(CG18,References!$A$1:$C$6,3)+VLOOKUP(CH18,References!$A$1:$C$6,2)+VLOOKUP(CI18,References!$A$1:$C$6,3))*2.5</f>
        <v>70</v>
      </c>
      <c r="CL18" s="1" t="s">
        <v>174</v>
      </c>
      <c r="CM18" s="1" t="s">
        <v>175</v>
      </c>
      <c r="CN18" s="1" t="s">
        <v>176</v>
      </c>
    </row>
    <row r="19" spans="1:92" x14ac:dyDescent="0.25">
      <c r="A19" s="3">
        <v>1448</v>
      </c>
      <c r="B19" s="9" t="s">
        <v>257</v>
      </c>
      <c r="C19" s="4">
        <f t="shared" si="3"/>
        <v>24.133333333333333</v>
      </c>
      <c r="D19" s="4">
        <f t="shared" si="0"/>
        <v>0.51876666666666671</v>
      </c>
      <c r="E19" s="3">
        <v>10.7</v>
      </c>
      <c r="F19" s="3">
        <v>31.431999999999999</v>
      </c>
      <c r="G19" s="3">
        <v>41.826000000000001</v>
      </c>
      <c r="H19" s="3">
        <v>7</v>
      </c>
      <c r="I19" s="3" t="s">
        <v>83</v>
      </c>
      <c r="J19" s="3" t="s">
        <v>139</v>
      </c>
      <c r="K19" s="3" t="s">
        <v>56</v>
      </c>
      <c r="L19" s="3" t="s">
        <v>57</v>
      </c>
      <c r="M19" s="4">
        <f t="shared" si="1"/>
        <v>0.33776666666666666</v>
      </c>
      <c r="N19" s="3">
        <v>0</v>
      </c>
      <c r="O19" s="3">
        <v>0</v>
      </c>
      <c r="P19" s="3">
        <v>20.265999999999998</v>
      </c>
      <c r="Q19" s="3">
        <v>0</v>
      </c>
      <c r="R19" s="4">
        <f t="shared" si="2"/>
        <v>1.0250666666666668</v>
      </c>
      <c r="S19" s="3">
        <v>16.295000000000002</v>
      </c>
      <c r="T19" s="3">
        <v>63.66</v>
      </c>
      <c r="U19" s="3">
        <v>77.799000000000007</v>
      </c>
      <c r="V19" s="3">
        <v>5</v>
      </c>
      <c r="W19" s="3" t="b">
        <v>1</v>
      </c>
      <c r="X19" s="3" t="b">
        <v>1</v>
      </c>
      <c r="Y19" s="3" t="s">
        <v>235</v>
      </c>
      <c r="Z19" s="4">
        <f t="shared" si="4"/>
        <v>4.666666666666667</v>
      </c>
      <c r="AA19" s="3">
        <v>5</v>
      </c>
      <c r="AB19" s="3">
        <v>3</v>
      </c>
      <c r="AC19" s="3">
        <v>6</v>
      </c>
      <c r="AD19" s="4">
        <f t="shared" si="5"/>
        <v>1.2181333333333335</v>
      </c>
      <c r="AE19" s="3">
        <v>22.623999999999999</v>
      </c>
      <c r="AF19" s="3">
        <v>76.221999999999994</v>
      </c>
      <c r="AG19" s="3">
        <v>95.712000000000003</v>
      </c>
      <c r="AH19" s="3">
        <v>6</v>
      </c>
      <c r="AI19" s="3" t="b">
        <v>1</v>
      </c>
      <c r="AJ19" s="3" t="b">
        <v>1</v>
      </c>
      <c r="AK19" s="3" t="s">
        <v>235</v>
      </c>
      <c r="AL19" s="4">
        <f t="shared" si="6"/>
        <v>4.333333333333333</v>
      </c>
      <c r="AM19" s="3">
        <v>4</v>
      </c>
      <c r="AN19" s="3">
        <v>3</v>
      </c>
      <c r="AO19" s="3">
        <v>6</v>
      </c>
      <c r="AP19" s="4">
        <f t="shared" si="7"/>
        <v>14.119516666666666</v>
      </c>
      <c r="AQ19" s="3">
        <v>19.792000000000002</v>
      </c>
      <c r="AR19" s="3">
        <v>854.50400000000002</v>
      </c>
      <c r="AS19" s="3">
        <v>866.96299999999997</v>
      </c>
      <c r="AT19" s="3">
        <v>49</v>
      </c>
      <c r="AU19" s="3" t="b">
        <v>1</v>
      </c>
      <c r="AV19" s="3" t="b">
        <v>1</v>
      </c>
      <c r="AW19" s="3" t="s">
        <v>235</v>
      </c>
      <c r="AX19" s="4">
        <f t="shared" si="8"/>
        <v>5</v>
      </c>
      <c r="AY19" s="3">
        <v>5</v>
      </c>
      <c r="AZ19" s="3">
        <v>4</v>
      </c>
      <c r="BA19" s="3">
        <v>6</v>
      </c>
      <c r="BB19" s="4">
        <f t="shared" si="9"/>
        <v>2.4772333333333334</v>
      </c>
      <c r="BC19" s="3">
        <v>15.122999999999999</v>
      </c>
      <c r="BD19" s="3">
        <v>161.416</v>
      </c>
      <c r="BE19" s="3">
        <v>163.75700000000001</v>
      </c>
      <c r="BF19" s="3">
        <v>21</v>
      </c>
      <c r="BG19" s="3" t="b">
        <v>1</v>
      </c>
      <c r="BH19" s="3" t="b">
        <v>1</v>
      </c>
      <c r="BI19" s="3" t="s">
        <v>235</v>
      </c>
      <c r="BJ19" s="4">
        <f t="shared" si="10"/>
        <v>5</v>
      </c>
      <c r="BK19" s="3">
        <v>5</v>
      </c>
      <c r="BL19" s="3">
        <v>6</v>
      </c>
      <c r="BM19" s="3">
        <v>4</v>
      </c>
      <c r="BN19" s="4">
        <f t="shared" si="11"/>
        <v>4.4150000000000016E-2</v>
      </c>
      <c r="BO19" s="3">
        <v>31</v>
      </c>
      <c r="BP19" s="3">
        <v>31</v>
      </c>
      <c r="BQ19" s="3">
        <v>33.649000000000001</v>
      </c>
      <c r="BR19" s="3">
        <v>1</v>
      </c>
      <c r="BS19" s="3" t="b">
        <v>1</v>
      </c>
      <c r="BT19" s="3" t="b">
        <v>1</v>
      </c>
      <c r="BU19" s="3" t="s">
        <v>235</v>
      </c>
      <c r="BV19" s="3">
        <f t="shared" si="12"/>
        <v>5</v>
      </c>
      <c r="BW19" s="3">
        <v>6</v>
      </c>
      <c r="BX19" s="3">
        <v>4</v>
      </c>
      <c r="BY19" s="3">
        <v>5</v>
      </c>
      <c r="BZ19" s="3" t="s">
        <v>65</v>
      </c>
      <c r="CA19" s="3" t="s">
        <v>65</v>
      </c>
      <c r="CB19" s="3" t="s">
        <v>64</v>
      </c>
      <c r="CC19" s="3" t="s">
        <v>63</v>
      </c>
      <c r="CD19" s="3" t="s">
        <v>64</v>
      </c>
      <c r="CE19" s="3" t="s">
        <v>64</v>
      </c>
      <c r="CF19" s="3" t="s">
        <v>63</v>
      </c>
      <c r="CG19" s="3" t="s">
        <v>65</v>
      </c>
      <c r="CH19" s="3" t="s">
        <v>64</v>
      </c>
      <c r="CI19" s="3" t="s">
        <v>64</v>
      </c>
      <c r="CJ19" s="3">
        <f t="shared" si="13"/>
        <v>5</v>
      </c>
      <c r="CK19" s="3">
        <f>(VLOOKUP(BZ19,References!$A$1:$C$6,2)+VLOOKUP(CA19,References!$A$1:$C$6,3)+VLOOKUP(CB19,References!$A$1:$C$6,2)+VLOOKUP(CC19,References!$A$1:$C$6,3)+VLOOKUP(CD19,References!$A$1:$C$6,2)+VLOOKUP(CE19,References!$A$1:$C$6,3)+VLOOKUP(CF19,References!$A$1:$C$6,2)+VLOOKUP(CG19,References!$A$1:$C$6,3)+VLOOKUP(CH19,References!$A$1:$C$6,2)+VLOOKUP(CI19,References!$A$1:$C$6,3))*2.5</f>
        <v>45</v>
      </c>
      <c r="CL19" s="1" t="s">
        <v>179</v>
      </c>
      <c r="CM19" s="1" t="s">
        <v>180</v>
      </c>
      <c r="CN19" s="1"/>
    </row>
    <row r="20" spans="1:92" x14ac:dyDescent="0.25">
      <c r="A20" s="3">
        <v>7527</v>
      </c>
      <c r="B20" s="9" t="s">
        <v>258</v>
      </c>
      <c r="C20" s="4">
        <f t="shared" si="3"/>
        <v>125.45</v>
      </c>
      <c r="D20" s="4">
        <f t="shared" si="0"/>
        <v>0.62336666666666674</v>
      </c>
      <c r="E20" s="3">
        <v>49.103999999999999</v>
      </c>
      <c r="F20" s="3">
        <v>84.875</v>
      </c>
      <c r="G20" s="3">
        <v>86.506</v>
      </c>
      <c r="H20" s="3">
        <v>6</v>
      </c>
      <c r="I20" s="3" t="s">
        <v>83</v>
      </c>
      <c r="J20" s="3" t="s">
        <v>94</v>
      </c>
      <c r="K20" s="3" t="s">
        <v>56</v>
      </c>
      <c r="L20" s="3" t="s">
        <v>84</v>
      </c>
      <c r="M20" s="4">
        <f t="shared" si="1"/>
        <v>1.214999999999975E-2</v>
      </c>
      <c r="N20" s="3">
        <v>372.666</v>
      </c>
      <c r="O20" s="3">
        <v>372.666</v>
      </c>
      <c r="P20" s="3">
        <v>373.39499999999998</v>
      </c>
      <c r="Q20" s="3">
        <v>1</v>
      </c>
      <c r="R20" s="4">
        <f t="shared" si="2"/>
        <v>3.0827333333333331</v>
      </c>
      <c r="S20" s="3">
        <v>46.652000000000001</v>
      </c>
      <c r="T20" s="3">
        <v>198.553</v>
      </c>
      <c r="U20" s="3">
        <v>231.61600000000001</v>
      </c>
      <c r="V20" s="3">
        <v>10</v>
      </c>
      <c r="W20" s="3" t="b">
        <v>1</v>
      </c>
      <c r="X20" s="3" t="b">
        <v>1</v>
      </c>
      <c r="Y20" s="3" t="s">
        <v>234</v>
      </c>
      <c r="Z20" s="4">
        <f t="shared" si="4"/>
        <v>4</v>
      </c>
      <c r="AA20" s="3">
        <v>3</v>
      </c>
      <c r="AB20" s="3">
        <v>6</v>
      </c>
      <c r="AC20" s="3">
        <v>3</v>
      </c>
      <c r="AD20" s="4">
        <f t="shared" si="5"/>
        <v>8.9207666666666672</v>
      </c>
      <c r="AE20" s="3">
        <v>55.493000000000002</v>
      </c>
      <c r="AF20" s="3">
        <v>576.39300000000003</v>
      </c>
      <c r="AG20" s="3">
        <v>590.73900000000003</v>
      </c>
      <c r="AH20" s="3">
        <v>31</v>
      </c>
      <c r="AI20" s="3" t="b">
        <v>1</v>
      </c>
      <c r="AJ20" s="3" t="b">
        <v>1</v>
      </c>
      <c r="AK20" s="3" t="s">
        <v>234</v>
      </c>
      <c r="AL20" s="4">
        <f t="shared" si="6"/>
        <v>5</v>
      </c>
      <c r="AM20" s="3">
        <v>5</v>
      </c>
      <c r="AN20" s="3">
        <v>5</v>
      </c>
      <c r="AO20" s="3">
        <v>5</v>
      </c>
      <c r="AP20" s="4">
        <f t="shared" si="7"/>
        <v>10.417983333333334</v>
      </c>
      <c r="AQ20" s="3">
        <v>15.077999999999999</v>
      </c>
      <c r="AR20" s="3">
        <v>628.45899999999995</v>
      </c>
      <c r="AS20" s="3">
        <v>640.15700000000004</v>
      </c>
      <c r="AT20" s="3">
        <v>68</v>
      </c>
      <c r="AU20" s="3" t="b">
        <v>1</v>
      </c>
      <c r="AV20" s="3" t="b">
        <v>1</v>
      </c>
      <c r="AW20" s="3" t="s">
        <v>235</v>
      </c>
      <c r="AX20" s="4">
        <f t="shared" si="8"/>
        <v>3.6666666666666665</v>
      </c>
      <c r="AY20" s="3">
        <v>2</v>
      </c>
      <c r="AZ20" s="3">
        <v>2</v>
      </c>
      <c r="BA20" s="3">
        <v>7</v>
      </c>
      <c r="BB20" s="4">
        <f t="shared" si="9"/>
        <v>1.8387666666666667</v>
      </c>
      <c r="BC20" s="3">
        <v>31.555</v>
      </c>
      <c r="BD20" s="3">
        <v>140.773</v>
      </c>
      <c r="BE20" s="3">
        <v>141.881</v>
      </c>
      <c r="BF20" s="3">
        <v>11</v>
      </c>
      <c r="BG20" s="3" t="b">
        <v>1</v>
      </c>
      <c r="BH20" s="3" t="b">
        <v>1</v>
      </c>
      <c r="BI20" s="3" t="s">
        <v>235</v>
      </c>
      <c r="BJ20" s="4">
        <f t="shared" si="10"/>
        <v>7</v>
      </c>
      <c r="BK20" s="3">
        <v>7</v>
      </c>
      <c r="BL20" s="3">
        <v>7</v>
      </c>
      <c r="BM20" s="3">
        <v>7</v>
      </c>
      <c r="BN20" s="4">
        <f t="shared" si="11"/>
        <v>68.885533333333342</v>
      </c>
      <c r="BO20" s="3">
        <v>72.382000000000005</v>
      </c>
      <c r="BP20" s="3">
        <v>4203.4189999999999</v>
      </c>
      <c r="BQ20" s="3">
        <v>4205.5140000000001</v>
      </c>
      <c r="BR20" s="3">
        <v>190</v>
      </c>
      <c r="BS20" s="3" t="b">
        <v>0</v>
      </c>
      <c r="BT20" s="3" t="b">
        <v>0</v>
      </c>
      <c r="BU20" s="3" t="s">
        <v>234</v>
      </c>
      <c r="BV20" s="3">
        <f t="shared" si="12"/>
        <v>1.6666666666666667</v>
      </c>
      <c r="BW20" s="3">
        <v>1</v>
      </c>
      <c r="BX20" s="3">
        <v>2</v>
      </c>
      <c r="BY20" s="3">
        <v>2</v>
      </c>
      <c r="BZ20" s="3" t="s">
        <v>63</v>
      </c>
      <c r="CA20" s="3" t="s">
        <v>63</v>
      </c>
      <c r="CB20" s="3" t="s">
        <v>64</v>
      </c>
      <c r="CC20" s="3" t="s">
        <v>64</v>
      </c>
      <c r="CD20" s="3" t="s">
        <v>65</v>
      </c>
      <c r="CE20" s="3" t="s">
        <v>63</v>
      </c>
      <c r="CF20" s="3" t="s">
        <v>65</v>
      </c>
      <c r="CG20" s="3" t="s">
        <v>63</v>
      </c>
      <c r="CH20" s="3" t="s">
        <v>64</v>
      </c>
      <c r="CI20" s="3" t="s">
        <v>64</v>
      </c>
      <c r="CJ20" s="3">
        <f t="shared" si="13"/>
        <v>4</v>
      </c>
      <c r="CK20" s="3">
        <f>(VLOOKUP(BZ20,References!$A$1:$C$6,2)+VLOOKUP(CA20,References!$A$1:$C$6,3)+VLOOKUP(CB20,References!$A$1:$C$6,2)+VLOOKUP(CC20,References!$A$1:$C$6,3)+VLOOKUP(CD20,References!$A$1:$C$6,2)+VLOOKUP(CE20,References!$A$1:$C$6,3)+VLOOKUP(CF20,References!$A$1:$C$6,2)+VLOOKUP(CG20,References!$A$1:$C$6,3)+VLOOKUP(CH20,References!$A$1:$C$6,2)+VLOOKUP(CI20,References!$A$1:$C$6,3))*2.5</f>
        <v>60</v>
      </c>
      <c r="CL20" s="1" t="s">
        <v>183</v>
      </c>
      <c r="CM20" s="1" t="s">
        <v>184</v>
      </c>
      <c r="CN20" s="1"/>
    </row>
    <row r="21" spans="1:92" ht="30" x14ac:dyDescent="0.25">
      <c r="A21" s="3">
        <v>47807</v>
      </c>
      <c r="B21" s="9" t="s">
        <v>259</v>
      </c>
      <c r="C21" s="4">
        <f t="shared" si="3"/>
        <v>796.7833333333333</v>
      </c>
      <c r="D21" s="4">
        <f t="shared" si="0"/>
        <v>3.7470500000000002</v>
      </c>
      <c r="E21" s="3">
        <v>12.814</v>
      </c>
      <c r="F21" s="3">
        <v>224.30500000000001</v>
      </c>
      <c r="G21" s="3">
        <v>237.637</v>
      </c>
      <c r="H21" s="3">
        <v>16</v>
      </c>
      <c r="I21" s="3" t="s">
        <v>83</v>
      </c>
      <c r="J21" s="3" t="s">
        <v>94</v>
      </c>
      <c r="K21" s="3" t="s">
        <v>56</v>
      </c>
      <c r="L21" s="3" t="s">
        <v>84</v>
      </c>
      <c r="M21" s="4">
        <f t="shared" si="1"/>
        <v>7.9149999999999998E-2</v>
      </c>
      <c r="N21" s="3">
        <v>0</v>
      </c>
      <c r="O21" s="3">
        <v>0</v>
      </c>
      <c r="P21" s="3">
        <v>4.7489999999999997</v>
      </c>
      <c r="Q21" s="3">
        <v>0</v>
      </c>
      <c r="R21" s="4">
        <f t="shared" si="2"/>
        <v>3.5432666666666668</v>
      </c>
      <c r="S21" s="3">
        <v>15.654999999999999</v>
      </c>
      <c r="T21" s="3">
        <v>227.24100000000001</v>
      </c>
      <c r="U21" s="3">
        <v>228.251</v>
      </c>
      <c r="V21" s="3">
        <v>16</v>
      </c>
      <c r="W21" s="3" t="b">
        <v>0</v>
      </c>
      <c r="X21" s="3" t="b">
        <v>0</v>
      </c>
      <c r="Y21" s="3" t="s">
        <v>235</v>
      </c>
      <c r="Z21" s="4">
        <f t="shared" si="4"/>
        <v>5</v>
      </c>
      <c r="AA21" s="3">
        <v>4</v>
      </c>
      <c r="AB21" s="3">
        <v>6</v>
      </c>
      <c r="AC21" s="3">
        <v>5</v>
      </c>
      <c r="AD21" s="4">
        <f t="shared" si="5"/>
        <v>7.5183499999999999</v>
      </c>
      <c r="AE21" s="3">
        <v>5.181</v>
      </c>
      <c r="AF21" s="3">
        <v>392.81900000000002</v>
      </c>
      <c r="AG21" s="3">
        <v>456.28199999999998</v>
      </c>
      <c r="AH21" s="3">
        <v>7</v>
      </c>
      <c r="AI21" s="3" t="b">
        <v>0</v>
      </c>
      <c r="AJ21" s="3" t="b">
        <v>0</v>
      </c>
      <c r="AK21" s="3" t="s">
        <v>234</v>
      </c>
      <c r="AL21" s="4">
        <f t="shared" si="6"/>
        <v>4</v>
      </c>
      <c r="AM21" s="3">
        <v>3</v>
      </c>
      <c r="AN21" s="3">
        <v>5</v>
      </c>
      <c r="AO21" s="3">
        <v>4</v>
      </c>
      <c r="AP21" s="4">
        <f t="shared" si="7"/>
        <v>20.737250000000003</v>
      </c>
      <c r="AQ21" s="3">
        <v>504.39600000000002</v>
      </c>
      <c r="AR21" s="3">
        <v>1744.807</v>
      </c>
      <c r="AS21" s="3">
        <v>1748.6310000000001</v>
      </c>
      <c r="AT21" s="3">
        <v>13</v>
      </c>
      <c r="AU21" s="3" t="b">
        <v>0</v>
      </c>
      <c r="AV21" s="3" t="b">
        <v>0</v>
      </c>
      <c r="AW21" s="3" t="s">
        <v>235</v>
      </c>
      <c r="AX21" s="4">
        <f t="shared" si="8"/>
        <v>4.666666666666667</v>
      </c>
      <c r="AY21" s="3">
        <v>4</v>
      </c>
      <c r="AZ21" s="3">
        <v>5</v>
      </c>
      <c r="BA21" s="3">
        <v>5</v>
      </c>
      <c r="BB21" s="4">
        <f t="shared" si="9"/>
        <v>2.9195500000000001</v>
      </c>
      <c r="BC21" s="3">
        <v>29.077000000000002</v>
      </c>
      <c r="BD21" s="3">
        <v>190.62700000000001</v>
      </c>
      <c r="BE21" s="3">
        <v>204.25</v>
      </c>
      <c r="BF21" s="3">
        <v>11</v>
      </c>
      <c r="BG21" s="3" t="b">
        <v>0</v>
      </c>
      <c r="BH21" s="3" t="b">
        <v>0</v>
      </c>
      <c r="BI21" s="3" t="s">
        <v>234</v>
      </c>
      <c r="BJ21" s="4">
        <f t="shared" si="10"/>
        <v>3.6666666666666665</v>
      </c>
      <c r="BK21" s="3">
        <v>4</v>
      </c>
      <c r="BL21" s="3">
        <v>4</v>
      </c>
      <c r="BM21" s="3">
        <v>3</v>
      </c>
      <c r="BN21" s="4">
        <f t="shared" si="11"/>
        <v>5.8105166666666666</v>
      </c>
      <c r="BO21" s="3">
        <v>7.4009999999999998</v>
      </c>
      <c r="BP21" s="3">
        <v>349.43900000000002</v>
      </c>
      <c r="BQ21" s="3">
        <v>356.03199999999998</v>
      </c>
      <c r="BR21" s="3">
        <v>30</v>
      </c>
      <c r="BS21" s="3" t="b">
        <v>1</v>
      </c>
      <c r="BT21" s="3" t="b">
        <v>1</v>
      </c>
      <c r="BU21" s="3" t="s">
        <v>234</v>
      </c>
      <c r="BV21" s="3">
        <f t="shared" si="12"/>
        <v>3.6666666666666665</v>
      </c>
      <c r="BW21" s="3">
        <v>3</v>
      </c>
      <c r="BX21" s="3">
        <v>4</v>
      </c>
      <c r="BY21" s="3">
        <v>4</v>
      </c>
      <c r="BZ21" s="3" t="s">
        <v>64</v>
      </c>
      <c r="CA21" s="3" t="s">
        <v>65</v>
      </c>
      <c r="CB21" s="3" t="s">
        <v>64</v>
      </c>
      <c r="CC21" s="3" t="s">
        <v>63</v>
      </c>
      <c r="CD21" s="3" t="s">
        <v>65</v>
      </c>
      <c r="CE21" s="3" t="s">
        <v>63</v>
      </c>
      <c r="CF21" s="3" t="s">
        <v>63</v>
      </c>
      <c r="CG21" s="3" t="s">
        <v>64</v>
      </c>
      <c r="CH21" s="3" t="s">
        <v>64</v>
      </c>
      <c r="CI21" s="3" t="s">
        <v>64</v>
      </c>
      <c r="CJ21" s="3">
        <f t="shared" si="13"/>
        <v>1</v>
      </c>
      <c r="CK21" s="3">
        <f>(VLOOKUP(BZ21,References!$A$1:$C$6,2)+VLOOKUP(CA21,References!$A$1:$C$6,3)+VLOOKUP(CB21,References!$A$1:$C$6,2)+VLOOKUP(CC21,References!$A$1:$C$6,3)+VLOOKUP(CD21,References!$A$1:$C$6,2)+VLOOKUP(CE21,References!$A$1:$C$6,3)+VLOOKUP(CF21,References!$A$1:$C$6,2)+VLOOKUP(CG21,References!$A$1:$C$6,3)+VLOOKUP(CH21,References!$A$1:$C$6,2)+VLOOKUP(CI21,References!$A$1:$C$6,3))*2.5</f>
        <v>50</v>
      </c>
      <c r="CL21" s="1" t="s">
        <v>191</v>
      </c>
      <c r="CM21" s="1" t="s">
        <v>192</v>
      </c>
      <c r="CN21" s="1"/>
    </row>
    <row r="22" spans="1:92" ht="75" x14ac:dyDescent="0.25">
      <c r="A22" s="3">
        <v>4712</v>
      </c>
      <c r="B22" s="9" t="s">
        <v>260</v>
      </c>
      <c r="C22" s="4">
        <f t="shared" si="3"/>
        <v>78.533333333333331</v>
      </c>
      <c r="D22" s="4">
        <f t="shared" si="0"/>
        <v>1.3958833333333331</v>
      </c>
      <c r="E22" s="3">
        <v>29.314</v>
      </c>
      <c r="F22" s="3">
        <v>100.574</v>
      </c>
      <c r="G22" s="3">
        <v>113.06699999999999</v>
      </c>
      <c r="H22" s="3">
        <v>4</v>
      </c>
      <c r="I22" s="3" t="s">
        <v>83</v>
      </c>
      <c r="J22" s="3" t="s">
        <v>55</v>
      </c>
      <c r="K22" s="3" t="s">
        <v>56</v>
      </c>
      <c r="L22" s="3" t="s">
        <v>84</v>
      </c>
      <c r="M22" s="4">
        <f t="shared" si="1"/>
        <v>6.8628833333333326</v>
      </c>
      <c r="N22" s="3">
        <v>47.640999999999998</v>
      </c>
      <c r="O22" s="3">
        <v>47.640999999999998</v>
      </c>
      <c r="P22" s="3">
        <v>459.41399999999999</v>
      </c>
      <c r="Q22" s="3">
        <v>1</v>
      </c>
      <c r="R22" s="4">
        <f t="shared" si="2"/>
        <v>3.2692833333333331</v>
      </c>
      <c r="S22" s="3">
        <v>35.579000000000001</v>
      </c>
      <c r="T22" s="3">
        <v>228.02199999999999</v>
      </c>
      <c r="U22" s="3">
        <v>231.73599999999999</v>
      </c>
      <c r="V22" s="3">
        <v>10</v>
      </c>
      <c r="W22" s="3" t="b">
        <v>1</v>
      </c>
      <c r="X22" s="3" t="b">
        <v>1</v>
      </c>
      <c r="Y22" s="3" t="s">
        <v>235</v>
      </c>
      <c r="Z22" s="4">
        <f t="shared" si="4"/>
        <v>7</v>
      </c>
      <c r="AA22" s="3">
        <v>7</v>
      </c>
      <c r="AB22" s="3">
        <v>7</v>
      </c>
      <c r="AC22" s="3">
        <v>7</v>
      </c>
      <c r="AD22" s="4">
        <f t="shared" si="5"/>
        <v>22.916100000000004</v>
      </c>
      <c r="AE22" s="3">
        <v>32.146999999999998</v>
      </c>
      <c r="AF22" s="3">
        <v>1403.0409999999999</v>
      </c>
      <c r="AG22" s="3">
        <v>1407.1130000000001</v>
      </c>
      <c r="AH22" s="3">
        <v>12</v>
      </c>
      <c r="AI22" s="3" t="b">
        <v>1</v>
      </c>
      <c r="AJ22" s="3" t="b">
        <v>1</v>
      </c>
      <c r="AK22" s="3" t="s">
        <v>235</v>
      </c>
      <c r="AL22" s="4">
        <f t="shared" si="6"/>
        <v>4</v>
      </c>
      <c r="AM22" s="3">
        <v>4</v>
      </c>
      <c r="AN22" s="3">
        <v>4</v>
      </c>
      <c r="AO22" s="3">
        <v>4</v>
      </c>
      <c r="AP22" s="4">
        <f t="shared" si="7"/>
        <v>7.7684333333333333</v>
      </c>
      <c r="AQ22" s="3">
        <v>54.220999999999997</v>
      </c>
      <c r="AR22" s="3">
        <v>518.01599999999996</v>
      </c>
      <c r="AS22" s="3">
        <v>520.327</v>
      </c>
      <c r="AT22" s="3">
        <v>11</v>
      </c>
      <c r="AU22" s="3" t="b">
        <v>1</v>
      </c>
      <c r="AV22" s="3" t="b">
        <v>1</v>
      </c>
      <c r="AW22" s="3" t="s">
        <v>235</v>
      </c>
      <c r="AX22" s="4">
        <f t="shared" si="8"/>
        <v>7</v>
      </c>
      <c r="AY22" s="3">
        <v>7</v>
      </c>
      <c r="AZ22" s="3">
        <v>7</v>
      </c>
      <c r="BA22" s="3">
        <v>7</v>
      </c>
      <c r="BB22" s="4">
        <f t="shared" si="9"/>
        <v>8.8264833333333321</v>
      </c>
      <c r="BC22" s="3">
        <v>3.36</v>
      </c>
      <c r="BD22" s="3">
        <v>530.14599999999996</v>
      </c>
      <c r="BE22" s="3">
        <v>532.94899999999996</v>
      </c>
      <c r="BF22" s="3">
        <v>18</v>
      </c>
      <c r="BG22" s="3" t="b">
        <v>1</v>
      </c>
      <c r="BH22" s="3" t="b">
        <v>1</v>
      </c>
      <c r="BI22" s="3" t="s">
        <v>235</v>
      </c>
      <c r="BJ22" s="4">
        <f t="shared" si="10"/>
        <v>6</v>
      </c>
      <c r="BK22" s="3">
        <v>6</v>
      </c>
      <c r="BL22" s="3">
        <v>5</v>
      </c>
      <c r="BM22" s="3">
        <v>7</v>
      </c>
      <c r="BN22" s="4">
        <f t="shared" si="11"/>
        <v>11.499500000000001</v>
      </c>
      <c r="BO22" s="3">
        <v>3.3330000000000002</v>
      </c>
      <c r="BP22" s="3">
        <v>691.24900000000002</v>
      </c>
      <c r="BQ22" s="3">
        <v>693.303</v>
      </c>
      <c r="BR22" s="3">
        <v>12</v>
      </c>
      <c r="BS22" s="3" t="b">
        <v>1</v>
      </c>
      <c r="BT22" s="3" t="b">
        <v>1</v>
      </c>
      <c r="BU22" s="3" t="s">
        <v>235</v>
      </c>
      <c r="BV22" s="3">
        <f t="shared" si="12"/>
        <v>5.333333333333333</v>
      </c>
      <c r="BW22" s="3">
        <v>5</v>
      </c>
      <c r="BX22" s="3">
        <v>5</v>
      </c>
      <c r="BY22" s="3">
        <v>6</v>
      </c>
      <c r="BZ22" s="3" t="s">
        <v>78</v>
      </c>
      <c r="CA22" s="3" t="s">
        <v>63</v>
      </c>
      <c r="CB22" s="3" t="s">
        <v>65</v>
      </c>
      <c r="CC22" s="3" t="s">
        <v>62</v>
      </c>
      <c r="CD22" s="3" t="s">
        <v>78</v>
      </c>
      <c r="CE22" s="3" t="s">
        <v>63</v>
      </c>
      <c r="CF22" s="3" t="s">
        <v>65</v>
      </c>
      <c r="CG22" s="3" t="s">
        <v>62</v>
      </c>
      <c r="CH22" s="3" t="s">
        <v>65</v>
      </c>
      <c r="CI22" s="3" t="s">
        <v>62</v>
      </c>
      <c r="CJ22" s="3">
        <f t="shared" si="13"/>
        <v>5</v>
      </c>
      <c r="CK22" s="3">
        <f>(VLOOKUP(BZ22,References!$A$1:$C$6,2)+VLOOKUP(CA22,References!$A$1:$C$6,3)+VLOOKUP(CB22,References!$A$1:$C$6,2)+VLOOKUP(CC22,References!$A$1:$C$6,3)+VLOOKUP(CD22,References!$A$1:$C$6,2)+VLOOKUP(CE22,References!$A$1:$C$6,3)+VLOOKUP(CF22,References!$A$1:$C$6,2)+VLOOKUP(CG22,References!$A$1:$C$6,3)+VLOOKUP(CH22,References!$A$1:$C$6,2)+VLOOKUP(CI22,References!$A$1:$C$6,3))*2.5</f>
        <v>72.5</v>
      </c>
      <c r="CL22" s="1" t="s">
        <v>197</v>
      </c>
      <c r="CM22" s="1" t="s">
        <v>198</v>
      </c>
      <c r="CN22" s="1" t="s">
        <v>184</v>
      </c>
    </row>
    <row r="23" spans="1:92" x14ac:dyDescent="0.25">
      <c r="A23" s="3">
        <v>2339</v>
      </c>
      <c r="B23" s="9" t="s">
        <v>261</v>
      </c>
      <c r="C23" s="4">
        <f t="shared" si="3"/>
        <v>38.983333333333334</v>
      </c>
      <c r="D23" s="4">
        <f t="shared" si="0"/>
        <v>1.9814833333333333</v>
      </c>
      <c r="E23" s="3">
        <v>62.466999999999999</v>
      </c>
      <c r="F23" s="3">
        <v>173.66900000000001</v>
      </c>
      <c r="G23" s="3">
        <v>181.35599999999999</v>
      </c>
      <c r="H23" s="3">
        <v>10</v>
      </c>
      <c r="I23" s="3" t="s">
        <v>83</v>
      </c>
      <c r="J23" s="3" t="s">
        <v>94</v>
      </c>
      <c r="K23" s="3" t="s">
        <v>56</v>
      </c>
      <c r="L23" s="3" t="s">
        <v>57</v>
      </c>
      <c r="M23" s="4">
        <f t="shared" si="1"/>
        <v>0.36281666666666662</v>
      </c>
      <c r="N23" s="3">
        <v>41.155000000000001</v>
      </c>
      <c r="O23" s="3">
        <v>41.155000000000001</v>
      </c>
      <c r="P23" s="3">
        <v>62.923999999999999</v>
      </c>
      <c r="Q23" s="3">
        <v>1</v>
      </c>
      <c r="R23" s="4">
        <f t="shared" si="2"/>
        <v>0.75688333333333324</v>
      </c>
      <c r="S23" s="3">
        <v>57.881</v>
      </c>
      <c r="T23" s="3">
        <v>101.68300000000001</v>
      </c>
      <c r="U23" s="3">
        <v>103.294</v>
      </c>
      <c r="V23" s="3">
        <v>8</v>
      </c>
      <c r="W23" s="3" t="b">
        <v>1</v>
      </c>
      <c r="X23" s="3" t="b">
        <v>1</v>
      </c>
      <c r="Y23" s="3" t="s">
        <v>235</v>
      </c>
      <c r="Z23" s="4">
        <f t="shared" si="4"/>
        <v>6.333333333333333</v>
      </c>
      <c r="AA23" s="3">
        <v>7</v>
      </c>
      <c r="AB23" s="3">
        <v>5</v>
      </c>
      <c r="AC23" s="3">
        <v>7</v>
      </c>
      <c r="AD23" s="4">
        <f t="shared" si="5"/>
        <v>3.3912499999999999</v>
      </c>
      <c r="AE23" s="3">
        <v>27.452000000000002</v>
      </c>
      <c r="AF23" s="3">
        <v>228.11799999999999</v>
      </c>
      <c r="AG23" s="3">
        <v>230.92699999999999</v>
      </c>
      <c r="AH23" s="3">
        <v>3</v>
      </c>
      <c r="AI23" s="3" t="b">
        <v>1</v>
      </c>
      <c r="AJ23" s="3" t="b">
        <v>1</v>
      </c>
      <c r="AK23" s="3" t="s">
        <v>235</v>
      </c>
      <c r="AL23" s="4">
        <f t="shared" si="6"/>
        <v>7</v>
      </c>
      <c r="AM23" s="3">
        <v>7</v>
      </c>
      <c r="AN23" s="3">
        <v>7</v>
      </c>
      <c r="AO23" s="3">
        <v>7</v>
      </c>
      <c r="AP23" s="4">
        <f t="shared" si="7"/>
        <v>3.1537333333333333</v>
      </c>
      <c r="AQ23" s="3">
        <v>157.964</v>
      </c>
      <c r="AR23" s="3">
        <v>345.488</v>
      </c>
      <c r="AS23" s="3">
        <v>347.18799999999999</v>
      </c>
      <c r="AT23" s="3">
        <v>4</v>
      </c>
      <c r="AU23" s="3" t="b">
        <v>1</v>
      </c>
      <c r="AV23" s="3" t="b">
        <v>1</v>
      </c>
      <c r="AW23" s="3" t="s">
        <v>235</v>
      </c>
      <c r="AX23" s="4">
        <f t="shared" si="8"/>
        <v>6</v>
      </c>
      <c r="AY23" s="3">
        <v>6</v>
      </c>
      <c r="AZ23" s="3">
        <v>6</v>
      </c>
      <c r="BA23" s="3">
        <v>6</v>
      </c>
      <c r="BB23" s="4">
        <f t="shared" si="9"/>
        <v>1.7829333333333335</v>
      </c>
      <c r="BC23" s="3">
        <v>85.894999999999996</v>
      </c>
      <c r="BD23" s="3">
        <v>191.63900000000001</v>
      </c>
      <c r="BE23" s="3">
        <v>192.87100000000001</v>
      </c>
      <c r="BF23" s="3">
        <v>7</v>
      </c>
      <c r="BG23" s="3" t="b">
        <v>1</v>
      </c>
      <c r="BH23" s="3" t="b">
        <v>1</v>
      </c>
      <c r="BI23" s="3" t="s">
        <v>235</v>
      </c>
      <c r="BJ23" s="4">
        <f t="shared" si="10"/>
        <v>7</v>
      </c>
      <c r="BK23" s="3">
        <v>7</v>
      </c>
      <c r="BL23" s="3">
        <v>7</v>
      </c>
      <c r="BM23" s="3">
        <v>7</v>
      </c>
      <c r="BN23" s="4">
        <f t="shared" si="11"/>
        <v>13.071383333333333</v>
      </c>
      <c r="BO23" s="3">
        <v>7.9459999999999997</v>
      </c>
      <c r="BP23" s="3">
        <v>788.05700000000002</v>
      </c>
      <c r="BQ23" s="3">
        <v>792.22900000000004</v>
      </c>
      <c r="BR23" s="3">
        <v>9</v>
      </c>
      <c r="BS23" s="3" t="b">
        <v>1</v>
      </c>
      <c r="BT23" s="3" t="b">
        <v>0</v>
      </c>
      <c r="BU23" s="3" t="s">
        <v>235</v>
      </c>
      <c r="BV23" s="3">
        <f t="shared" si="12"/>
        <v>6.333333333333333</v>
      </c>
      <c r="BW23" s="3">
        <v>6</v>
      </c>
      <c r="BX23" s="3">
        <v>6</v>
      </c>
      <c r="BY23" s="3">
        <v>7</v>
      </c>
      <c r="BZ23" s="3" t="s">
        <v>65</v>
      </c>
      <c r="CA23" s="3" t="s">
        <v>63</v>
      </c>
      <c r="CB23" s="3" t="s">
        <v>63</v>
      </c>
      <c r="CC23" s="3" t="s">
        <v>64</v>
      </c>
      <c r="CD23" s="3" t="s">
        <v>65</v>
      </c>
      <c r="CE23" s="3" t="s">
        <v>63</v>
      </c>
      <c r="CF23" s="3" t="s">
        <v>64</v>
      </c>
      <c r="CG23" s="3" t="s">
        <v>63</v>
      </c>
      <c r="CH23" s="3" t="s">
        <v>65</v>
      </c>
      <c r="CI23" s="3" t="s">
        <v>63</v>
      </c>
      <c r="CJ23" s="3">
        <f t="shared" si="13"/>
        <v>4</v>
      </c>
      <c r="CK23" s="3">
        <f>(VLOOKUP(BZ23,References!$A$1:$C$6,2)+VLOOKUP(CA23,References!$A$1:$C$6,3)+VLOOKUP(CB23,References!$A$1:$C$6,2)+VLOOKUP(CC23,References!$A$1:$C$6,3)+VLOOKUP(CD23,References!$A$1:$C$6,2)+VLOOKUP(CE23,References!$A$1:$C$6,3)+VLOOKUP(CF23,References!$A$1:$C$6,2)+VLOOKUP(CG23,References!$A$1:$C$6,3)+VLOOKUP(CH23,References!$A$1:$C$6,2)+VLOOKUP(CI23,References!$A$1:$C$6,3))*2.5</f>
        <v>65</v>
      </c>
      <c r="CL23" s="1" t="s">
        <v>200</v>
      </c>
      <c r="CM23" s="1" t="s">
        <v>201</v>
      </c>
      <c r="CN23" s="1" t="s">
        <v>202</v>
      </c>
    </row>
    <row r="24" spans="1:92" ht="120" x14ac:dyDescent="0.25">
      <c r="A24" s="3">
        <v>284480</v>
      </c>
      <c r="B24" s="9" t="s">
        <v>262</v>
      </c>
      <c r="C24" s="4">
        <f t="shared" si="3"/>
        <v>4741.333333333333</v>
      </c>
      <c r="D24" s="4">
        <f t="shared" si="0"/>
        <v>3.7376333333333331</v>
      </c>
      <c r="E24" s="3">
        <v>40.673000000000002</v>
      </c>
      <c r="F24" s="3">
        <v>260.20400000000001</v>
      </c>
      <c r="G24" s="3">
        <v>264.93099999999998</v>
      </c>
      <c r="H24" s="3">
        <v>6</v>
      </c>
      <c r="I24" s="3" t="s">
        <v>83</v>
      </c>
      <c r="J24" s="3" t="s">
        <v>55</v>
      </c>
      <c r="K24" s="3" t="s">
        <v>56</v>
      </c>
      <c r="L24" s="3" t="s">
        <v>57</v>
      </c>
      <c r="M24" s="4">
        <f t="shared" si="1"/>
        <v>0.71181666666666665</v>
      </c>
      <c r="N24" s="3">
        <v>12.121</v>
      </c>
      <c r="O24" s="3">
        <v>12.121</v>
      </c>
      <c r="P24" s="3">
        <v>54.83</v>
      </c>
      <c r="Q24" s="3">
        <v>1</v>
      </c>
      <c r="R24" s="4">
        <f t="shared" si="2"/>
        <v>0.52196666666666636</v>
      </c>
      <c r="S24" s="3">
        <v>278.779</v>
      </c>
      <c r="T24" s="3">
        <v>307.03800000000001</v>
      </c>
      <c r="U24" s="3">
        <v>310.09699999999998</v>
      </c>
      <c r="V24" s="3">
        <v>3</v>
      </c>
      <c r="W24" s="3" t="b">
        <v>1</v>
      </c>
      <c r="X24" s="3" t="b">
        <v>1</v>
      </c>
      <c r="Y24" s="3" t="s">
        <v>235</v>
      </c>
      <c r="Z24" s="4">
        <f t="shared" si="4"/>
        <v>7</v>
      </c>
      <c r="AA24" s="3">
        <v>7</v>
      </c>
      <c r="AB24" s="3">
        <v>7</v>
      </c>
      <c r="AC24" s="3">
        <v>7</v>
      </c>
      <c r="AD24" s="4">
        <f t="shared" si="5"/>
        <v>7.0933333333333334E-2</v>
      </c>
      <c r="AE24" s="3">
        <v>149.13800000000001</v>
      </c>
      <c r="AF24" s="3">
        <v>149.13800000000001</v>
      </c>
      <c r="AG24" s="3">
        <v>153.39400000000001</v>
      </c>
      <c r="AH24" s="3">
        <v>1</v>
      </c>
      <c r="AI24" s="3" t="b">
        <v>1</v>
      </c>
      <c r="AJ24" s="3" t="b">
        <v>1</v>
      </c>
      <c r="AK24" s="3" t="s">
        <v>235</v>
      </c>
      <c r="AL24" s="4">
        <f t="shared" si="6"/>
        <v>7</v>
      </c>
      <c r="AM24" s="3">
        <v>7</v>
      </c>
      <c r="AN24" s="3">
        <v>7</v>
      </c>
      <c r="AO24" s="3">
        <v>7</v>
      </c>
      <c r="AP24" s="4">
        <f t="shared" si="7"/>
        <v>5.6818833333333334</v>
      </c>
      <c r="AQ24" s="3">
        <v>24.452000000000002</v>
      </c>
      <c r="AR24" s="3">
        <v>363.21100000000001</v>
      </c>
      <c r="AS24" s="3">
        <v>365.36500000000001</v>
      </c>
      <c r="AT24" s="3">
        <v>4</v>
      </c>
      <c r="AU24" s="3" t="b">
        <v>1</v>
      </c>
      <c r="AV24" s="3" t="b">
        <v>1</v>
      </c>
      <c r="AW24" s="3" t="s">
        <v>235</v>
      </c>
      <c r="AX24" s="4">
        <f t="shared" si="8"/>
        <v>5.666666666666667</v>
      </c>
      <c r="AY24" s="3">
        <v>5</v>
      </c>
      <c r="AZ24" s="3">
        <v>6</v>
      </c>
      <c r="BA24" s="3">
        <v>6</v>
      </c>
      <c r="BB24" s="4">
        <f t="shared" si="9"/>
        <v>2.5766666666666656E-2</v>
      </c>
      <c r="BC24" s="3">
        <v>60.454000000000001</v>
      </c>
      <c r="BD24" s="3">
        <v>60.454000000000001</v>
      </c>
      <c r="BE24" s="3">
        <v>62</v>
      </c>
      <c r="BF24" s="3">
        <v>1</v>
      </c>
      <c r="BG24" s="3" t="b">
        <v>1</v>
      </c>
      <c r="BH24" s="3" t="b">
        <v>1</v>
      </c>
      <c r="BI24" s="3" t="s">
        <v>235</v>
      </c>
      <c r="BJ24" s="4">
        <f t="shared" si="10"/>
        <v>7</v>
      </c>
      <c r="BK24" s="3">
        <v>7</v>
      </c>
      <c r="BL24" s="3">
        <v>7</v>
      </c>
      <c r="BM24" s="3">
        <v>7</v>
      </c>
      <c r="BN24" s="4">
        <f t="shared" si="11"/>
        <v>18.879000000000001</v>
      </c>
      <c r="BO24" s="3">
        <v>8.0920000000000005</v>
      </c>
      <c r="BP24" s="3">
        <v>1139.8219999999999</v>
      </c>
      <c r="BQ24" s="3">
        <v>1140.8320000000001</v>
      </c>
      <c r="BR24" s="3">
        <v>26</v>
      </c>
      <c r="BS24" s="3" t="b">
        <v>1</v>
      </c>
      <c r="BT24" s="3" t="b">
        <v>0</v>
      </c>
      <c r="BU24" s="3" t="s">
        <v>234</v>
      </c>
      <c r="BV24" s="3">
        <f t="shared" si="12"/>
        <v>2</v>
      </c>
      <c r="BW24" s="3">
        <v>1</v>
      </c>
      <c r="BX24" s="3">
        <v>1</v>
      </c>
      <c r="BY24" s="3">
        <v>4</v>
      </c>
      <c r="BZ24" s="3" t="s">
        <v>63</v>
      </c>
      <c r="CA24" s="3" t="s">
        <v>63</v>
      </c>
      <c r="CB24" s="3" t="s">
        <v>65</v>
      </c>
      <c r="CC24" s="3" t="s">
        <v>63</v>
      </c>
      <c r="CD24" s="3" t="s">
        <v>64</v>
      </c>
      <c r="CE24" s="3" t="s">
        <v>65</v>
      </c>
      <c r="CF24" s="3" t="s">
        <v>63</v>
      </c>
      <c r="CG24" s="3" t="s">
        <v>64</v>
      </c>
      <c r="CH24" s="3" t="s">
        <v>64</v>
      </c>
      <c r="CI24" s="3" t="s">
        <v>63</v>
      </c>
      <c r="CJ24" s="3">
        <f t="shared" si="13"/>
        <v>4</v>
      </c>
      <c r="CK24" s="3">
        <f>(VLOOKUP(BZ24,References!$A$1:$C$6,2)+VLOOKUP(CA24,References!$A$1:$C$6,3)+VLOOKUP(CB24,References!$A$1:$C$6,2)+VLOOKUP(CC24,References!$A$1:$C$6,3)+VLOOKUP(CD24,References!$A$1:$C$6,2)+VLOOKUP(CE24,References!$A$1:$C$6,3)+VLOOKUP(CF24,References!$A$1:$C$6,2)+VLOOKUP(CG24,References!$A$1:$C$6,3)+VLOOKUP(CH24,References!$A$1:$C$6,2)+VLOOKUP(CI24,References!$A$1:$C$6,3))*2.5</f>
        <v>50</v>
      </c>
      <c r="CL24" s="1" t="s">
        <v>207</v>
      </c>
      <c r="CM24" s="1" t="s">
        <v>208</v>
      </c>
      <c r="CN24" s="1" t="s">
        <v>209</v>
      </c>
    </row>
    <row r="25" spans="1:92" x14ac:dyDescent="0.25">
      <c r="A25" s="3">
        <v>3608</v>
      </c>
      <c r="B25" s="9" t="s">
        <v>263</v>
      </c>
      <c r="C25" s="4">
        <f t="shared" si="3"/>
        <v>60.133333333333333</v>
      </c>
      <c r="D25" s="4">
        <f t="shared" si="0"/>
        <v>1.1260833333333333</v>
      </c>
      <c r="E25" s="3">
        <v>130.57300000000001</v>
      </c>
      <c r="F25" s="3">
        <v>195.958</v>
      </c>
      <c r="G25" s="3">
        <v>198.13800000000001</v>
      </c>
      <c r="H25" s="3">
        <v>9</v>
      </c>
      <c r="I25" s="3" t="s">
        <v>83</v>
      </c>
      <c r="J25" s="3" t="s">
        <v>94</v>
      </c>
      <c r="K25" s="3" t="s">
        <v>56</v>
      </c>
      <c r="L25" s="3" t="s">
        <v>57</v>
      </c>
      <c r="M25" s="4">
        <f t="shared" si="1"/>
        <v>0.30748333333333344</v>
      </c>
      <c r="N25" s="3">
        <v>37.174999999999997</v>
      </c>
      <c r="O25" s="3">
        <v>37.174999999999997</v>
      </c>
      <c r="P25" s="3">
        <v>55.624000000000002</v>
      </c>
      <c r="Q25" s="3">
        <v>1</v>
      </c>
      <c r="R25" s="4">
        <f t="shared" si="2"/>
        <v>14.270883333333332</v>
      </c>
      <c r="S25" s="3">
        <v>26.945</v>
      </c>
      <c r="T25" s="3">
        <v>876.99800000000005</v>
      </c>
      <c r="U25" s="3">
        <v>883.19799999999998</v>
      </c>
      <c r="V25" s="3">
        <v>2</v>
      </c>
      <c r="W25" s="3" t="b">
        <v>1</v>
      </c>
      <c r="X25" s="3" t="b">
        <v>1</v>
      </c>
      <c r="Y25" s="3" t="s">
        <v>235</v>
      </c>
      <c r="Z25" s="4">
        <f t="shared" si="4"/>
        <v>7</v>
      </c>
      <c r="AA25" s="3">
        <v>7</v>
      </c>
      <c r="AB25" s="3">
        <v>7</v>
      </c>
      <c r="AC25" s="3">
        <v>7</v>
      </c>
      <c r="AD25" s="4">
        <f t="shared" si="5"/>
        <v>5.50685</v>
      </c>
      <c r="AE25" s="3">
        <v>8.6219999999999999</v>
      </c>
      <c r="AF25" s="3">
        <v>331.303</v>
      </c>
      <c r="AG25" s="3">
        <v>339.03300000000002</v>
      </c>
      <c r="AH25" s="3">
        <v>2</v>
      </c>
      <c r="AI25" s="3" t="b">
        <v>1</v>
      </c>
      <c r="AJ25" s="3" t="b">
        <v>1</v>
      </c>
      <c r="AK25" s="3" t="s">
        <v>235</v>
      </c>
      <c r="AL25" s="4">
        <f t="shared" si="6"/>
        <v>7</v>
      </c>
      <c r="AM25" s="3">
        <v>7</v>
      </c>
      <c r="AN25" s="3">
        <v>7</v>
      </c>
      <c r="AO25" s="3">
        <v>7</v>
      </c>
      <c r="AP25" s="4">
        <f t="shared" si="7"/>
        <v>9.4785666666666675</v>
      </c>
      <c r="AQ25" s="3">
        <v>59.588000000000001</v>
      </c>
      <c r="AR25" s="3">
        <v>623.74699999999996</v>
      </c>
      <c r="AS25" s="3">
        <v>628.30200000000002</v>
      </c>
      <c r="AT25" s="3">
        <v>3</v>
      </c>
      <c r="AU25" s="3" t="b">
        <v>1</v>
      </c>
      <c r="AV25" s="3" t="b">
        <v>1</v>
      </c>
      <c r="AW25" s="3" t="s">
        <v>235</v>
      </c>
      <c r="AX25" s="4">
        <f t="shared" si="8"/>
        <v>7</v>
      </c>
      <c r="AY25" s="3">
        <v>7</v>
      </c>
      <c r="AZ25" s="3">
        <v>7</v>
      </c>
      <c r="BA25" s="3">
        <v>7</v>
      </c>
      <c r="BB25" s="4">
        <f t="shared" si="9"/>
        <v>4.1600000000000158E-2</v>
      </c>
      <c r="BC25" s="3">
        <v>99.930999999999997</v>
      </c>
      <c r="BD25" s="3">
        <v>99.930999999999997</v>
      </c>
      <c r="BE25" s="3">
        <v>102.42700000000001</v>
      </c>
      <c r="BF25" s="3">
        <v>1</v>
      </c>
      <c r="BG25" s="3" t="b">
        <v>1</v>
      </c>
      <c r="BH25" s="3" t="b">
        <v>1</v>
      </c>
      <c r="BI25" s="3" t="s">
        <v>235</v>
      </c>
      <c r="BJ25" s="4">
        <f t="shared" si="10"/>
        <v>7</v>
      </c>
      <c r="BK25" s="3">
        <v>7</v>
      </c>
      <c r="BL25" s="3">
        <v>7</v>
      </c>
      <c r="BM25" s="3">
        <v>7</v>
      </c>
      <c r="BN25" s="4">
        <f t="shared" si="11"/>
        <v>16.552883333333334</v>
      </c>
      <c r="BO25" s="3">
        <v>30.484999999999999</v>
      </c>
      <c r="BP25" s="3">
        <v>937.18100000000004</v>
      </c>
      <c r="BQ25" s="3">
        <v>1023.658</v>
      </c>
      <c r="BR25" s="3">
        <v>13</v>
      </c>
      <c r="BS25" s="3" t="b">
        <v>1</v>
      </c>
      <c r="BT25" s="3" t="b">
        <v>1</v>
      </c>
      <c r="BU25" s="3" t="s">
        <v>235</v>
      </c>
      <c r="BV25" s="3">
        <f t="shared" si="12"/>
        <v>6.666666666666667</v>
      </c>
      <c r="BW25" s="3">
        <v>7</v>
      </c>
      <c r="BX25" s="3">
        <v>6</v>
      </c>
      <c r="BY25" s="3">
        <v>7</v>
      </c>
      <c r="BZ25" s="3" t="s">
        <v>65</v>
      </c>
      <c r="CA25" s="3" t="s">
        <v>63</v>
      </c>
      <c r="CB25" s="3" t="s">
        <v>65</v>
      </c>
      <c r="CC25" s="3" t="s">
        <v>63</v>
      </c>
      <c r="CD25" s="3" t="s">
        <v>65</v>
      </c>
      <c r="CE25" s="3" t="s">
        <v>63</v>
      </c>
      <c r="CF25" s="3" t="s">
        <v>65</v>
      </c>
      <c r="CG25" s="3" t="s">
        <v>63</v>
      </c>
      <c r="CH25" s="3" t="s">
        <v>65</v>
      </c>
      <c r="CI25" s="3" t="s">
        <v>63</v>
      </c>
      <c r="CJ25" s="3">
        <f t="shared" si="13"/>
        <v>5</v>
      </c>
      <c r="CK25" s="3">
        <f>(VLOOKUP(BZ25,References!$A$1:$C$6,2)+VLOOKUP(CA25,References!$A$1:$C$6,3)+VLOOKUP(CB25,References!$A$1:$C$6,2)+VLOOKUP(CC25,References!$A$1:$C$6,3)+VLOOKUP(CD25,References!$A$1:$C$6,2)+VLOOKUP(CE25,References!$A$1:$C$6,3)+VLOOKUP(CF25,References!$A$1:$C$6,2)+VLOOKUP(CG25,References!$A$1:$C$6,3)+VLOOKUP(CH25,References!$A$1:$C$6,2)+VLOOKUP(CI25,References!$A$1:$C$6,3))*2.5</f>
        <v>75</v>
      </c>
      <c r="CL25" s="1" t="s">
        <v>212</v>
      </c>
      <c r="CM25" s="1" t="s">
        <v>213</v>
      </c>
      <c r="CN25" s="1"/>
    </row>
    <row r="26" spans="1:92" ht="120" x14ac:dyDescent="0.25">
      <c r="A26" s="3">
        <v>5369</v>
      </c>
      <c r="B26" s="9" t="s">
        <v>264</v>
      </c>
      <c r="C26" s="4">
        <f t="shared" si="3"/>
        <v>89.483333333333334</v>
      </c>
      <c r="D26" s="4">
        <f t="shared" si="0"/>
        <v>0.60594999999999999</v>
      </c>
      <c r="E26" s="3">
        <v>11.478999999999999</v>
      </c>
      <c r="F26" s="3">
        <v>46.597000000000001</v>
      </c>
      <c r="G26" s="3">
        <v>47.835999999999999</v>
      </c>
      <c r="H26" s="3">
        <v>6</v>
      </c>
      <c r="I26" s="3" t="s">
        <v>83</v>
      </c>
      <c r="J26" s="3" t="s">
        <v>71</v>
      </c>
      <c r="K26" s="3" t="s">
        <v>56</v>
      </c>
      <c r="L26" s="3" t="s">
        <v>57</v>
      </c>
      <c r="M26" s="4">
        <f t="shared" si="1"/>
        <v>0.47250000000000003</v>
      </c>
      <c r="N26" s="3">
        <v>11.951000000000001</v>
      </c>
      <c r="O26" s="3">
        <v>11.951000000000001</v>
      </c>
      <c r="P26" s="3">
        <v>40.301000000000002</v>
      </c>
      <c r="Q26" s="3">
        <v>1</v>
      </c>
      <c r="R26" s="4">
        <f t="shared" si="2"/>
        <v>2.8841833333333331</v>
      </c>
      <c r="S26" s="3">
        <v>42.823</v>
      </c>
      <c r="T26" s="3">
        <v>206.6</v>
      </c>
      <c r="U26" s="3">
        <v>215.874</v>
      </c>
      <c r="V26" s="3">
        <v>17</v>
      </c>
      <c r="W26" s="3" t="b">
        <v>1</v>
      </c>
      <c r="X26" s="3" t="b">
        <v>1</v>
      </c>
      <c r="Y26" s="3" t="s">
        <v>235</v>
      </c>
      <c r="Z26" s="4">
        <f t="shared" si="4"/>
        <v>7</v>
      </c>
      <c r="AA26" s="3">
        <v>7</v>
      </c>
      <c r="AB26" s="3">
        <v>7</v>
      </c>
      <c r="AC26" s="3">
        <v>7</v>
      </c>
      <c r="AD26" s="4">
        <f t="shared" si="5"/>
        <v>0.30163333333333331</v>
      </c>
      <c r="AE26" s="3">
        <v>86.721999999999994</v>
      </c>
      <c r="AF26" s="3">
        <v>101.986</v>
      </c>
      <c r="AG26" s="3">
        <v>104.82</v>
      </c>
      <c r="AH26" s="3">
        <v>2</v>
      </c>
      <c r="AI26" s="3" t="b">
        <v>1</v>
      </c>
      <c r="AJ26" s="3" t="b">
        <v>1</v>
      </c>
      <c r="AK26" s="3" t="s">
        <v>235</v>
      </c>
      <c r="AL26" s="4">
        <f t="shared" si="6"/>
        <v>7</v>
      </c>
      <c r="AM26" s="3">
        <v>7</v>
      </c>
      <c r="AN26" s="3">
        <v>7</v>
      </c>
      <c r="AO26" s="3">
        <v>7</v>
      </c>
      <c r="AP26" s="4">
        <f t="shared" si="7"/>
        <v>4.1299999999999198E-2</v>
      </c>
      <c r="AQ26" s="3">
        <v>273.27800000000002</v>
      </c>
      <c r="AR26" s="3">
        <v>273.27800000000002</v>
      </c>
      <c r="AS26" s="3">
        <v>275.75599999999997</v>
      </c>
      <c r="AT26" s="3">
        <v>1</v>
      </c>
      <c r="AU26" s="3" t="b">
        <v>1</v>
      </c>
      <c r="AV26" s="3" t="b">
        <v>1</v>
      </c>
      <c r="AW26" s="3" t="s">
        <v>235</v>
      </c>
      <c r="AX26" s="4">
        <f t="shared" si="8"/>
        <v>7</v>
      </c>
      <c r="AY26" s="3">
        <v>7</v>
      </c>
      <c r="AZ26" s="3">
        <v>7</v>
      </c>
      <c r="BA26" s="3">
        <v>7</v>
      </c>
      <c r="BB26" s="4">
        <f t="shared" si="9"/>
        <v>3.5050000000000144E-2</v>
      </c>
      <c r="BC26" s="3">
        <v>115.273</v>
      </c>
      <c r="BD26" s="3">
        <v>115.273</v>
      </c>
      <c r="BE26" s="3">
        <v>117.376</v>
      </c>
      <c r="BF26" s="3">
        <v>1</v>
      </c>
      <c r="BG26" s="3" t="b">
        <v>1</v>
      </c>
      <c r="BH26" s="3" t="b">
        <v>1</v>
      </c>
      <c r="BI26" s="3" t="s">
        <v>235</v>
      </c>
      <c r="BJ26" s="4">
        <f t="shared" si="10"/>
        <v>7</v>
      </c>
      <c r="BK26" s="3">
        <v>7</v>
      </c>
      <c r="BL26" s="3">
        <v>7</v>
      </c>
      <c r="BM26" s="3">
        <v>7</v>
      </c>
      <c r="BN26" s="4">
        <f t="shared" si="11"/>
        <v>50.304666666666662</v>
      </c>
      <c r="BO26" s="3">
        <v>460.36399999999998</v>
      </c>
      <c r="BP26" s="3">
        <v>3476.0219999999999</v>
      </c>
      <c r="BQ26" s="3">
        <v>3478.6439999999998</v>
      </c>
      <c r="BR26" s="3">
        <v>10</v>
      </c>
      <c r="BS26" s="3" t="b">
        <v>1</v>
      </c>
      <c r="BT26" s="3" t="b">
        <v>1</v>
      </c>
      <c r="BU26" s="3" t="s">
        <v>235</v>
      </c>
      <c r="BV26" s="3">
        <f t="shared" si="12"/>
        <v>3</v>
      </c>
      <c r="BW26" s="3">
        <v>3</v>
      </c>
      <c r="BX26" s="3">
        <v>3</v>
      </c>
      <c r="BY26" s="3">
        <v>3</v>
      </c>
      <c r="BZ26" s="3" t="s">
        <v>64</v>
      </c>
      <c r="CA26" s="3" t="s">
        <v>65</v>
      </c>
      <c r="CB26" s="3" t="s">
        <v>64</v>
      </c>
      <c r="CC26" s="3" t="s">
        <v>63</v>
      </c>
      <c r="CD26" s="3" t="s">
        <v>63</v>
      </c>
      <c r="CE26" s="3" t="s">
        <v>65</v>
      </c>
      <c r="CF26" s="3" t="s">
        <v>64</v>
      </c>
      <c r="CG26" s="3" t="s">
        <v>64</v>
      </c>
      <c r="CH26" s="3" t="s">
        <v>64</v>
      </c>
      <c r="CI26" s="3" t="s">
        <v>63</v>
      </c>
      <c r="CJ26" s="3">
        <f t="shared" si="13"/>
        <v>5</v>
      </c>
      <c r="CK26" s="3">
        <f>(VLOOKUP(BZ26,References!$A$1:$C$6,2)+VLOOKUP(CA26,References!$A$1:$C$6,3)+VLOOKUP(CB26,References!$A$1:$C$6,2)+VLOOKUP(CC26,References!$A$1:$C$6,3)+VLOOKUP(CD26,References!$A$1:$C$6,2)+VLOOKUP(CE26,References!$A$1:$C$6,3)+VLOOKUP(CF26,References!$A$1:$C$6,2)+VLOOKUP(CG26,References!$A$1:$C$6,3)+VLOOKUP(CH26,References!$A$1:$C$6,2)+VLOOKUP(CI26,References!$A$1:$C$6,3))*2.5</f>
        <v>40</v>
      </c>
      <c r="CL26" s="1" t="s">
        <v>216</v>
      </c>
      <c r="CM26" s="1" t="s">
        <v>217</v>
      </c>
      <c r="CN26" s="1" t="s">
        <v>218</v>
      </c>
    </row>
    <row r="28" spans="1:92" x14ac:dyDescent="0.25">
      <c r="B28" s="2" t="s">
        <v>300</v>
      </c>
      <c r="C28" s="6">
        <f>GEOMEAN(C2:C26)</f>
        <v>75.725043703022763</v>
      </c>
      <c r="D28" s="6">
        <f t="shared" ref="D28:BO28" si="14">GEOMEAN(D2:D26)</f>
        <v>1.42093945849356</v>
      </c>
      <c r="E28" s="4">
        <f t="shared" si="14"/>
        <v>23.315075968694767</v>
      </c>
      <c r="F28" s="4">
        <f t="shared" si="14"/>
        <v>131.25445036673287</v>
      </c>
      <c r="G28" s="4">
        <f t="shared" si="14"/>
        <v>143.9311074862436</v>
      </c>
      <c r="H28" s="4">
        <f t="shared" si="14"/>
        <v>7.9203828247617594</v>
      </c>
      <c r="I28" s="4"/>
      <c r="J28" s="4"/>
      <c r="K28" s="4"/>
      <c r="L28" s="7">
        <f>COUNTIF(L2:L26, "MALE")</f>
        <v>19</v>
      </c>
      <c r="M28" s="6">
        <f t="shared" si="14"/>
        <v>0.25859927837727731</v>
      </c>
      <c r="N28" s="4" t="e">
        <f t="shared" si="14"/>
        <v>#NUM!</v>
      </c>
      <c r="O28" s="4" t="e">
        <f t="shared" si="14"/>
        <v>#NUM!</v>
      </c>
      <c r="P28" s="4">
        <f t="shared" si="14"/>
        <v>35.182371647800572</v>
      </c>
      <c r="Q28" s="4" t="e">
        <f t="shared" si="14"/>
        <v>#NUM!</v>
      </c>
      <c r="R28" s="6">
        <f t="shared" si="14"/>
        <v>1.4611151773212163</v>
      </c>
      <c r="S28" s="4">
        <f t="shared" si="14"/>
        <v>32.592248799584311</v>
      </c>
      <c r="T28" s="4">
        <f t="shared" si="14"/>
        <v>177.52402892259354</v>
      </c>
      <c r="U28" s="4">
        <f t="shared" si="14"/>
        <v>193.86632379628048</v>
      </c>
      <c r="V28" s="4">
        <f t="shared" si="14"/>
        <v>4.7493361820593432</v>
      </c>
      <c r="W28" s="4" t="e">
        <f t="shared" si="14"/>
        <v>#NUM!</v>
      </c>
      <c r="X28" s="7">
        <f>COUNTIF(X2:X26, TRUE)</f>
        <v>23</v>
      </c>
      <c r="Y28" s="7">
        <f>COUNTIF(Y2:Y26, "GENERATED")</f>
        <v>15</v>
      </c>
      <c r="Z28" s="6">
        <f>MEDIAN(Z2:Z26)</f>
        <v>7</v>
      </c>
      <c r="AA28" s="6">
        <f t="shared" si="14"/>
        <v>6.3057254845510071</v>
      </c>
      <c r="AB28" s="6">
        <f t="shared" si="14"/>
        <v>6.379842972965835</v>
      </c>
      <c r="AC28" s="6">
        <f t="shared" si="14"/>
        <v>6.1332950895722691</v>
      </c>
      <c r="AD28" s="6">
        <f t="shared" si="14"/>
        <v>1.5934125898855014</v>
      </c>
      <c r="AE28" s="4">
        <f t="shared" si="14"/>
        <v>33.763845875574802</v>
      </c>
      <c r="AF28" s="4">
        <f t="shared" si="14"/>
        <v>235.06550098883068</v>
      </c>
      <c r="AG28" s="4">
        <f t="shared" si="14"/>
        <v>245.30863481215897</v>
      </c>
      <c r="AH28" s="4">
        <f t="shared" si="14"/>
        <v>6.040187121391166</v>
      </c>
      <c r="AI28" s="4" t="e">
        <f t="shared" si="14"/>
        <v>#NUM!</v>
      </c>
      <c r="AJ28" s="7">
        <f>COUNTIF(AJ2:AJ26, TRUE)</f>
        <v>23</v>
      </c>
      <c r="AK28" s="7">
        <f>COUNTIF(AK2:AK26, "GENERATED")</f>
        <v>14</v>
      </c>
      <c r="AL28" s="6">
        <f>MEDIAN(AL2:AL26)</f>
        <v>6.666666666666667</v>
      </c>
      <c r="AM28" s="6">
        <f t="shared" si="14"/>
        <v>5.6044654411015049</v>
      </c>
      <c r="AN28" s="6">
        <f t="shared" si="14"/>
        <v>5.5045313965340084</v>
      </c>
      <c r="AO28" s="6">
        <f t="shared" si="14"/>
        <v>5.9858353454635269</v>
      </c>
      <c r="AP28" s="6">
        <f t="shared" si="14"/>
        <v>4.6160626961058364</v>
      </c>
      <c r="AQ28" s="4">
        <f t="shared" si="14"/>
        <v>44.250693366834064</v>
      </c>
      <c r="AR28" s="4">
        <f t="shared" si="14"/>
        <v>429.69264526310621</v>
      </c>
      <c r="AS28" s="4">
        <f t="shared" si="14"/>
        <v>519.3208104452267</v>
      </c>
      <c r="AT28" s="4">
        <f t="shared" si="14"/>
        <v>9.510492617442603</v>
      </c>
      <c r="AU28" s="4" t="e">
        <f t="shared" si="14"/>
        <v>#NUM!</v>
      </c>
      <c r="AV28" s="7">
        <f>COUNTIF(AV2:AV26, TRUE)</f>
        <v>22</v>
      </c>
      <c r="AW28" s="7">
        <f>COUNTIF(AW2:AW26, "GENERATED")</f>
        <v>20</v>
      </c>
      <c r="AX28" s="6">
        <f>MEDIAN(AX2:AX26)</f>
        <v>5.666666666666667</v>
      </c>
      <c r="AY28" s="6">
        <f t="shared" si="14"/>
        <v>4.8221286575433817</v>
      </c>
      <c r="AZ28" s="6">
        <f t="shared" si="14"/>
        <v>4.5656997794287415</v>
      </c>
      <c r="BA28" s="6">
        <f t="shared" si="14"/>
        <v>5.7006130951264868</v>
      </c>
      <c r="BB28" s="6">
        <f t="shared" si="14"/>
        <v>0.63360293055999506</v>
      </c>
      <c r="BC28" s="4">
        <f t="shared" si="14"/>
        <v>38.974478959261134</v>
      </c>
      <c r="BD28" s="4">
        <f t="shared" si="14"/>
        <v>197.65740051935029</v>
      </c>
      <c r="BE28" s="4">
        <f t="shared" si="14"/>
        <v>203.68858986785557</v>
      </c>
      <c r="BF28" s="4">
        <f t="shared" si="14"/>
        <v>5.1381749009704336</v>
      </c>
      <c r="BG28" s="4" t="e">
        <f t="shared" si="14"/>
        <v>#NUM!</v>
      </c>
      <c r="BH28" s="7">
        <f>COUNTIF(BH2:BH26, TRUE)</f>
        <v>24</v>
      </c>
      <c r="BI28" s="7">
        <f>COUNTIF(BI2:BI26, "GENERATED")</f>
        <v>19</v>
      </c>
      <c r="BJ28" s="6">
        <f>MEDIAN(BJ2:BJ26)</f>
        <v>6.333333333333333</v>
      </c>
      <c r="BK28" s="6">
        <f t="shared" si="14"/>
        <v>5.6702458347572273</v>
      </c>
      <c r="BL28" s="6">
        <f t="shared" si="14"/>
        <v>6.1292284649298274</v>
      </c>
      <c r="BM28" s="6">
        <f t="shared" si="14"/>
        <v>5.7201595887510681</v>
      </c>
      <c r="BN28" s="6">
        <f t="shared" si="14"/>
        <v>3.9545599503312729</v>
      </c>
      <c r="BO28" s="4">
        <f t="shared" si="14"/>
        <v>31.838009026141368</v>
      </c>
      <c r="BP28" s="4">
        <f t="shared" ref="BP28:CI28" si="15">GEOMEAN(BP2:BP26)</f>
        <v>463.12097546721515</v>
      </c>
      <c r="BQ28" s="4">
        <f t="shared" si="15"/>
        <v>505.94859534148441</v>
      </c>
      <c r="BR28" s="4">
        <f t="shared" si="15"/>
        <v>8.6073552583125608</v>
      </c>
      <c r="BS28" s="4" t="e">
        <f t="shared" si="15"/>
        <v>#NUM!</v>
      </c>
      <c r="BT28" s="7">
        <f>COUNTIF(BT2:BT26, TRUE)</f>
        <v>16</v>
      </c>
      <c r="BU28" s="7">
        <f>COUNTIF(BU2:BU26, "GENERATED")</f>
        <v>16</v>
      </c>
      <c r="BV28" s="6">
        <f>MEDIAN(BV2:BV26)</f>
        <v>6</v>
      </c>
      <c r="BW28" s="6">
        <f t="shared" ref="BW28:CJ28" si="16">MEDIAN(BW2:BW26)</f>
        <v>6</v>
      </c>
      <c r="BX28" s="6">
        <f t="shared" si="16"/>
        <v>6</v>
      </c>
      <c r="BY28" s="6">
        <f t="shared" si="16"/>
        <v>6</v>
      </c>
      <c r="BZ28" s="6" t="e">
        <f t="shared" si="16"/>
        <v>#NUM!</v>
      </c>
      <c r="CA28" s="6" t="e">
        <f t="shared" si="16"/>
        <v>#NUM!</v>
      </c>
      <c r="CB28" s="6" t="e">
        <f t="shared" si="16"/>
        <v>#NUM!</v>
      </c>
      <c r="CC28" s="6" t="e">
        <f t="shared" si="16"/>
        <v>#NUM!</v>
      </c>
      <c r="CD28" s="6" t="e">
        <f t="shared" si="16"/>
        <v>#NUM!</v>
      </c>
      <c r="CE28" s="6" t="e">
        <f t="shared" si="16"/>
        <v>#NUM!</v>
      </c>
      <c r="CF28" s="6" t="e">
        <f t="shared" si="16"/>
        <v>#NUM!</v>
      </c>
      <c r="CG28" s="6" t="e">
        <f t="shared" si="16"/>
        <v>#NUM!</v>
      </c>
      <c r="CH28" s="6" t="e">
        <f t="shared" si="16"/>
        <v>#NUM!</v>
      </c>
      <c r="CI28" s="6" t="e">
        <f t="shared" si="16"/>
        <v>#NUM!</v>
      </c>
      <c r="CJ28" s="6">
        <f>MEDIAN(CJ2:CJ26)</f>
        <v>5</v>
      </c>
      <c r="CK28" s="6">
        <f>MEDIAN(CK2:CK26)</f>
        <v>65</v>
      </c>
    </row>
    <row r="29" spans="1:92" x14ac:dyDescent="0.25">
      <c r="L29" s="8">
        <f>L28/25</f>
        <v>0.76</v>
      </c>
      <c r="X29" s="8">
        <f>X28/25</f>
        <v>0.92</v>
      </c>
      <c r="Y29" s="8">
        <f>Y28/25</f>
        <v>0.6</v>
      </c>
      <c r="Z29" s="11">
        <f t="shared" ref="Z29" si="17">AVERAGE(Z2:Z26)</f>
        <v>6.4266666666666676</v>
      </c>
      <c r="AJ29" s="8">
        <f>AJ28/25</f>
        <v>0.92</v>
      </c>
      <c r="AK29" s="8">
        <f>AK28/25</f>
        <v>0.56000000000000005</v>
      </c>
      <c r="AL29" s="11">
        <f t="shared" ref="AL29" si="18">AVERAGE(AL2:AL26)</f>
        <v>6.0266666666666673</v>
      </c>
      <c r="AV29" s="8">
        <f>AV28/25</f>
        <v>0.88</v>
      </c>
      <c r="AW29" s="8">
        <f>AW28/25</f>
        <v>0.8</v>
      </c>
      <c r="AX29" s="11">
        <f t="shared" ref="AX29" si="19">AVERAGE(AX2:AX26)</f>
        <v>5.3866666666666667</v>
      </c>
      <c r="BH29" s="8">
        <f>BH28/25</f>
        <v>0.96</v>
      </c>
      <c r="BI29" s="8">
        <f>BI28/25</f>
        <v>0.76</v>
      </c>
      <c r="BJ29" s="11">
        <f t="shared" ref="BJ29" si="20">AVERAGE(BJ2:BJ26)</f>
        <v>6.08</v>
      </c>
      <c r="BT29" s="8">
        <f>BT28/25</f>
        <v>0.64</v>
      </c>
      <c r="BU29" s="8">
        <f>BU28/25</f>
        <v>0.64</v>
      </c>
      <c r="BV29" s="11">
        <f t="shared" ref="BV29:CI29" si="21">AVERAGE(BV2:BV26)</f>
        <v>4.8933333333333335</v>
      </c>
      <c r="BW29" s="2">
        <f t="shared" si="21"/>
        <v>4.72</v>
      </c>
      <c r="BX29" s="2">
        <f t="shared" si="21"/>
        <v>4.88</v>
      </c>
      <c r="BY29" s="2">
        <f t="shared" si="21"/>
        <v>5.08</v>
      </c>
      <c r="BZ29" s="2" t="e">
        <f t="shared" si="21"/>
        <v>#DIV/0!</v>
      </c>
      <c r="CA29" s="2" t="e">
        <f t="shared" si="21"/>
        <v>#DIV/0!</v>
      </c>
      <c r="CB29" s="2" t="e">
        <f t="shared" si="21"/>
        <v>#DIV/0!</v>
      </c>
      <c r="CC29" s="2" t="e">
        <f t="shared" si="21"/>
        <v>#DIV/0!</v>
      </c>
      <c r="CD29" s="2" t="e">
        <f t="shared" si="21"/>
        <v>#DIV/0!</v>
      </c>
      <c r="CE29" s="2" t="e">
        <f t="shared" si="21"/>
        <v>#DIV/0!</v>
      </c>
      <c r="CF29" s="2" t="e">
        <f t="shared" si="21"/>
        <v>#DIV/0!</v>
      </c>
      <c r="CG29" s="2" t="e">
        <f t="shared" si="21"/>
        <v>#DIV/0!</v>
      </c>
      <c r="CH29" s="2" t="e">
        <f t="shared" si="21"/>
        <v>#DIV/0!</v>
      </c>
      <c r="CI29" s="2" t="e">
        <f t="shared" si="21"/>
        <v>#DIV/0!</v>
      </c>
      <c r="CJ29" s="2">
        <f>AVERAGE(CJ2:CJ26)</f>
        <v>4.32</v>
      </c>
      <c r="CK29" s="2">
        <f>AVERAGE(CK2:CK26)</f>
        <v>60</v>
      </c>
    </row>
  </sheetData>
  <phoneticPr fontId="18" type="noConversion"/>
  <conditionalFormatting sqref="X2:X26 BT2:BT26 BH2:BH26 AJ2:AJ26 AV2:AV26">
    <cfRule type="cellIs" dxfId="0" priority="1" operator="notEqual">
      <formula>TRUE</formula>
    </cfRule>
  </conditionalFormatting>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6"/>
  <sheetViews>
    <sheetView workbookViewId="0">
      <pane xSplit="1" ySplit="1" topLeftCell="B25" activePane="bottomRight" state="frozen"/>
      <selection pane="topRight" activeCell="B1" sqref="B1"/>
      <selection pane="bottomLeft" activeCell="A2" sqref="A2"/>
      <selection pane="bottomRight" activeCell="E25" sqref="E25"/>
    </sheetView>
  </sheetViews>
  <sheetFormatPr defaultRowHeight="15" x14ac:dyDescent="0.25"/>
  <cols>
    <col min="2" max="2" width="37.42578125" bestFit="1" customWidth="1"/>
    <col min="3" max="3" width="74.85546875" bestFit="1" customWidth="1"/>
    <col min="4" max="4" width="59.140625" bestFit="1" customWidth="1"/>
    <col min="5" max="5" width="31.7109375" bestFit="1" customWidth="1"/>
    <col min="6" max="6" width="65.140625" bestFit="1" customWidth="1"/>
    <col min="7" max="7" width="30.85546875" bestFit="1" customWidth="1"/>
    <col min="8" max="8" width="25.140625" bestFit="1" customWidth="1"/>
    <col min="9" max="9" width="54.140625" customWidth="1"/>
  </cols>
  <sheetData>
    <row r="1" spans="1:9" ht="45" x14ac:dyDescent="0.25">
      <c r="A1" s="3" t="s">
        <v>239</v>
      </c>
      <c r="B1" s="1" t="s">
        <v>232</v>
      </c>
      <c r="C1" s="1" t="s">
        <v>265</v>
      </c>
      <c r="D1" s="1" t="s">
        <v>266</v>
      </c>
      <c r="E1" s="1" t="s">
        <v>267</v>
      </c>
      <c r="F1" s="1" t="s">
        <v>268</v>
      </c>
      <c r="G1" s="3" t="s">
        <v>281</v>
      </c>
      <c r="H1" s="3" t="s">
        <v>282</v>
      </c>
      <c r="I1" s="1" t="s">
        <v>288</v>
      </c>
    </row>
    <row r="2" spans="1:9" ht="240" x14ac:dyDescent="0.25">
      <c r="A2" s="3" t="s">
        <v>240</v>
      </c>
      <c r="B2" s="1" t="s">
        <v>58</v>
      </c>
      <c r="C2" s="1" t="s">
        <v>59</v>
      </c>
      <c r="D2" s="1" t="s">
        <v>60</v>
      </c>
      <c r="E2" s="1" t="s">
        <v>61</v>
      </c>
      <c r="F2" s="1" t="s">
        <v>77</v>
      </c>
      <c r="G2" s="3" t="s">
        <v>68</v>
      </c>
      <c r="H2" s="3" t="s">
        <v>69</v>
      </c>
      <c r="I2" s="1"/>
    </row>
    <row r="3" spans="1:9" ht="375" x14ac:dyDescent="0.25">
      <c r="A3" s="3" t="s">
        <v>243</v>
      </c>
      <c r="B3" s="1" t="s">
        <v>73</v>
      </c>
      <c r="C3" s="1" t="s">
        <v>74</v>
      </c>
      <c r="D3" s="1" t="s">
        <v>75</v>
      </c>
      <c r="E3" s="1" t="s">
        <v>76</v>
      </c>
      <c r="F3" s="1" t="s">
        <v>89</v>
      </c>
      <c r="G3" s="3" t="s">
        <v>81</v>
      </c>
      <c r="H3" s="3" t="s">
        <v>81</v>
      </c>
      <c r="I3" s="1"/>
    </row>
    <row r="4" spans="1:9" ht="360" x14ac:dyDescent="0.25">
      <c r="A4" s="3" t="s">
        <v>242</v>
      </c>
      <c r="B4" s="1" t="s">
        <v>85</v>
      </c>
      <c r="C4" s="1" t="s">
        <v>86</v>
      </c>
      <c r="D4" s="1" t="s">
        <v>87</v>
      </c>
      <c r="E4" s="1" t="s">
        <v>88</v>
      </c>
      <c r="F4" s="1" t="s">
        <v>99</v>
      </c>
      <c r="G4" s="3" t="s">
        <v>92</v>
      </c>
      <c r="H4" s="3" t="s">
        <v>69</v>
      </c>
      <c r="I4" s="1"/>
    </row>
    <row r="5" spans="1:9" ht="360" x14ac:dyDescent="0.25">
      <c r="A5" s="3" t="s">
        <v>244</v>
      </c>
      <c r="B5" s="1" t="s">
        <v>95</v>
      </c>
      <c r="C5" s="1" t="s">
        <v>96</v>
      </c>
      <c r="D5" s="1" t="s">
        <v>97</v>
      </c>
      <c r="E5" s="1" t="s">
        <v>98</v>
      </c>
      <c r="F5" s="1" t="s">
        <v>106</v>
      </c>
      <c r="G5" s="3" t="s">
        <v>102</v>
      </c>
      <c r="H5" s="3" t="s">
        <v>68</v>
      </c>
      <c r="I5" s="1"/>
    </row>
    <row r="6" spans="1:9" ht="360" x14ac:dyDescent="0.25">
      <c r="A6" s="3" t="s">
        <v>245</v>
      </c>
      <c r="B6" s="1" t="s">
        <v>85</v>
      </c>
      <c r="C6" s="1" t="s">
        <v>103</v>
      </c>
      <c r="D6" s="1" t="s">
        <v>104</v>
      </c>
      <c r="E6" s="1" t="s">
        <v>105</v>
      </c>
      <c r="F6" s="1" t="s">
        <v>112</v>
      </c>
      <c r="G6" s="3" t="s">
        <v>68</v>
      </c>
      <c r="H6" s="3" t="s">
        <v>92</v>
      </c>
      <c r="I6" s="1"/>
    </row>
    <row r="7" spans="1:9" ht="360" x14ac:dyDescent="0.25">
      <c r="A7" s="3" t="s">
        <v>246</v>
      </c>
      <c r="B7" s="1" t="s">
        <v>85</v>
      </c>
      <c r="C7" s="1" t="s">
        <v>110</v>
      </c>
      <c r="D7" s="1" t="s">
        <v>111</v>
      </c>
      <c r="E7" s="1" t="s">
        <v>98</v>
      </c>
      <c r="F7" s="1" t="s">
        <v>106</v>
      </c>
      <c r="G7" s="3" t="s">
        <v>102</v>
      </c>
      <c r="H7" s="3" t="s">
        <v>68</v>
      </c>
      <c r="I7" s="1"/>
    </row>
    <row r="8" spans="1:9" ht="330" x14ac:dyDescent="0.25">
      <c r="A8" s="3" t="s">
        <v>241</v>
      </c>
      <c r="B8" s="1" t="s">
        <v>95</v>
      </c>
      <c r="C8" s="1" t="s">
        <v>115</v>
      </c>
      <c r="D8" s="1" t="s">
        <v>116</v>
      </c>
      <c r="E8" s="1" t="s">
        <v>117</v>
      </c>
      <c r="F8" s="1" t="s">
        <v>123</v>
      </c>
      <c r="G8" s="3" t="s">
        <v>68</v>
      </c>
      <c r="H8" s="3" t="s">
        <v>68</v>
      </c>
      <c r="I8" s="1"/>
    </row>
    <row r="9" spans="1:9" ht="345" x14ac:dyDescent="0.25">
      <c r="A9" s="3" t="s">
        <v>247</v>
      </c>
      <c r="B9" s="1" t="s">
        <v>85</v>
      </c>
      <c r="C9" s="1" t="s">
        <v>121</v>
      </c>
      <c r="D9" s="1" t="s">
        <v>122</v>
      </c>
      <c r="E9" s="1" t="s">
        <v>98</v>
      </c>
      <c r="F9" s="1" t="s">
        <v>129</v>
      </c>
      <c r="G9" s="3" t="s">
        <v>68</v>
      </c>
      <c r="H9" s="3" t="s">
        <v>102</v>
      </c>
      <c r="I9" s="1"/>
    </row>
    <row r="10" spans="1:9" ht="360" x14ac:dyDescent="0.25">
      <c r="A10" s="3" t="s">
        <v>248</v>
      </c>
      <c r="B10" s="1" t="s">
        <v>85</v>
      </c>
      <c r="C10" s="1" t="s">
        <v>126</v>
      </c>
      <c r="D10" s="1" t="s">
        <v>127</v>
      </c>
      <c r="E10" s="1" t="s">
        <v>128</v>
      </c>
      <c r="F10" s="1" t="s">
        <v>135</v>
      </c>
      <c r="G10" s="3" t="s">
        <v>68</v>
      </c>
      <c r="H10" s="3" t="s">
        <v>102</v>
      </c>
      <c r="I10" s="1"/>
    </row>
    <row r="11" spans="1:9" ht="285" x14ac:dyDescent="0.25">
      <c r="A11" s="3" t="s">
        <v>249</v>
      </c>
      <c r="B11" s="1" t="s">
        <v>85</v>
      </c>
      <c r="C11" s="1" t="s">
        <v>133</v>
      </c>
      <c r="D11" s="1" t="s">
        <v>134</v>
      </c>
      <c r="E11" s="1" t="s">
        <v>98</v>
      </c>
      <c r="F11" s="1" t="s">
        <v>143</v>
      </c>
      <c r="G11" s="3" t="s">
        <v>68</v>
      </c>
      <c r="H11" s="3" t="s">
        <v>68</v>
      </c>
      <c r="I11" s="1"/>
    </row>
    <row r="12" spans="1:9" ht="210" x14ac:dyDescent="0.25">
      <c r="A12" s="3" t="s">
        <v>250</v>
      </c>
      <c r="B12" s="1" t="s">
        <v>140</v>
      </c>
      <c r="C12" s="1" t="s">
        <v>141</v>
      </c>
      <c r="D12" s="1" t="s">
        <v>142</v>
      </c>
      <c r="E12" s="1" t="s">
        <v>98</v>
      </c>
      <c r="F12" s="1" t="s">
        <v>150</v>
      </c>
      <c r="G12" s="3" t="s">
        <v>69</v>
      </c>
      <c r="H12" s="3" t="s">
        <v>81</v>
      </c>
      <c r="I12" s="1"/>
    </row>
    <row r="13" spans="1:9" ht="195" x14ac:dyDescent="0.25">
      <c r="A13" s="3" t="s">
        <v>251</v>
      </c>
      <c r="B13" s="1" t="s">
        <v>146</v>
      </c>
      <c r="C13" s="1" t="s">
        <v>147</v>
      </c>
      <c r="D13" s="1" t="s">
        <v>148</v>
      </c>
      <c r="E13" s="1" t="s">
        <v>149</v>
      </c>
      <c r="F13" s="1" t="s">
        <v>158</v>
      </c>
      <c r="G13" s="3" t="s">
        <v>68</v>
      </c>
      <c r="H13" s="3" t="s">
        <v>69</v>
      </c>
      <c r="I13" s="1"/>
    </row>
    <row r="14" spans="1:9" ht="315" x14ac:dyDescent="0.25">
      <c r="A14" s="3" t="s">
        <v>252</v>
      </c>
      <c r="B14" s="1" t="s">
        <v>154</v>
      </c>
      <c r="C14" s="1" t="s">
        <v>155</v>
      </c>
      <c r="D14" s="1" t="s">
        <v>156</v>
      </c>
      <c r="E14" s="1" t="s">
        <v>157</v>
      </c>
      <c r="F14" s="1" t="s">
        <v>161</v>
      </c>
      <c r="G14" s="3" t="s">
        <v>68</v>
      </c>
      <c r="H14" s="3" t="s">
        <v>92</v>
      </c>
      <c r="I14" s="1"/>
    </row>
    <row r="15" spans="1:9" ht="315" x14ac:dyDescent="0.25">
      <c r="A15" s="3" t="s">
        <v>253</v>
      </c>
      <c r="B15" s="1" t="s">
        <v>85</v>
      </c>
      <c r="C15" s="1" t="s">
        <v>86</v>
      </c>
      <c r="D15" s="1" t="s">
        <v>122</v>
      </c>
      <c r="E15" s="1" t="s">
        <v>98</v>
      </c>
      <c r="F15" s="1" t="s">
        <v>166</v>
      </c>
      <c r="G15" s="3" t="s">
        <v>102</v>
      </c>
      <c r="H15" s="3" t="s">
        <v>68</v>
      </c>
      <c r="I15" s="1"/>
    </row>
    <row r="16" spans="1:9" ht="255" x14ac:dyDescent="0.25">
      <c r="A16" s="3" t="s">
        <v>254</v>
      </c>
      <c r="B16" s="1" t="s">
        <v>85</v>
      </c>
      <c r="C16" s="1" t="s">
        <v>164</v>
      </c>
      <c r="D16" s="1" t="s">
        <v>165</v>
      </c>
      <c r="E16" s="1" t="s">
        <v>98</v>
      </c>
      <c r="F16" s="1" t="s">
        <v>171</v>
      </c>
      <c r="G16" s="3" t="s">
        <v>68</v>
      </c>
      <c r="H16" s="3" t="s">
        <v>69</v>
      </c>
      <c r="I16" s="1"/>
    </row>
    <row r="17" spans="1:9" ht="270" x14ac:dyDescent="0.25">
      <c r="A17" s="3" t="s">
        <v>255</v>
      </c>
      <c r="B17" s="1" t="s">
        <v>85</v>
      </c>
      <c r="C17" s="1" t="s">
        <v>86</v>
      </c>
      <c r="D17" s="1" t="s">
        <v>169</v>
      </c>
      <c r="E17" s="1" t="s">
        <v>170</v>
      </c>
      <c r="F17" s="1" t="s">
        <v>171</v>
      </c>
      <c r="G17" s="3" t="s">
        <v>81</v>
      </c>
      <c r="H17" s="3" t="s">
        <v>92</v>
      </c>
      <c r="I17" s="1"/>
    </row>
    <row r="18" spans="1:9" ht="270" x14ac:dyDescent="0.25">
      <c r="A18" s="3" t="s">
        <v>256</v>
      </c>
      <c r="B18" s="1" t="s">
        <v>73</v>
      </c>
      <c r="C18" s="1" t="s">
        <v>86</v>
      </c>
      <c r="D18" s="1" t="s">
        <v>169</v>
      </c>
      <c r="E18" s="1" t="s">
        <v>170</v>
      </c>
      <c r="F18" s="1" t="s">
        <v>171</v>
      </c>
      <c r="G18" s="3" t="s">
        <v>102</v>
      </c>
      <c r="H18" s="3" t="s">
        <v>68</v>
      </c>
      <c r="I18" s="1"/>
    </row>
    <row r="19" spans="1:9" ht="270" x14ac:dyDescent="0.25">
      <c r="A19" s="3" t="s">
        <v>257</v>
      </c>
      <c r="B19" s="1" t="s">
        <v>73</v>
      </c>
      <c r="C19" s="1" t="s">
        <v>177</v>
      </c>
      <c r="D19" s="1" t="s">
        <v>178</v>
      </c>
      <c r="E19" s="1" t="s">
        <v>170</v>
      </c>
      <c r="F19" s="1" t="s">
        <v>182</v>
      </c>
      <c r="G19" s="3" t="s">
        <v>81</v>
      </c>
      <c r="H19" s="3" t="s">
        <v>69</v>
      </c>
      <c r="I19" s="1"/>
    </row>
    <row r="20" spans="1:9" ht="409.5" x14ac:dyDescent="0.25">
      <c r="A20" s="3" t="s">
        <v>258</v>
      </c>
      <c r="B20" s="1" t="s">
        <v>85</v>
      </c>
      <c r="C20" s="1" t="s">
        <v>181</v>
      </c>
      <c r="D20" s="1" t="s">
        <v>165</v>
      </c>
      <c r="E20" s="1" t="s">
        <v>98</v>
      </c>
      <c r="F20" s="1" t="s">
        <v>190</v>
      </c>
      <c r="G20" s="3" t="s">
        <v>68</v>
      </c>
      <c r="H20" s="3" t="s">
        <v>81</v>
      </c>
      <c r="I20" s="1" t="s">
        <v>185</v>
      </c>
    </row>
    <row r="21" spans="1:9" ht="375" x14ac:dyDescent="0.25">
      <c r="A21" s="3" t="s">
        <v>259</v>
      </c>
      <c r="B21" s="1" t="s">
        <v>186</v>
      </c>
      <c r="C21" s="1" t="s">
        <v>187</v>
      </c>
      <c r="D21" s="1" t="s">
        <v>188</v>
      </c>
      <c r="E21" s="1" t="s">
        <v>189</v>
      </c>
      <c r="F21" s="1" t="s">
        <v>196</v>
      </c>
      <c r="G21" s="3" t="s">
        <v>69</v>
      </c>
      <c r="H21" s="3" t="s">
        <v>69</v>
      </c>
      <c r="I21" s="1"/>
    </row>
    <row r="22" spans="1:9" ht="409.5" x14ac:dyDescent="0.25">
      <c r="A22" s="3" t="s">
        <v>260</v>
      </c>
      <c r="B22" s="1" t="s">
        <v>193</v>
      </c>
      <c r="C22" s="1" t="s">
        <v>194</v>
      </c>
      <c r="D22" s="1" t="s">
        <v>195</v>
      </c>
      <c r="E22" s="1" t="s">
        <v>98</v>
      </c>
      <c r="F22" s="1" t="s">
        <v>106</v>
      </c>
      <c r="G22" s="3" t="s">
        <v>68</v>
      </c>
      <c r="H22" s="3" t="s">
        <v>69</v>
      </c>
      <c r="I22" s="1"/>
    </row>
    <row r="23" spans="1:9" ht="270" x14ac:dyDescent="0.25">
      <c r="A23" s="3" t="s">
        <v>261</v>
      </c>
      <c r="B23" s="1" t="s">
        <v>85</v>
      </c>
      <c r="C23" s="1" t="s">
        <v>199</v>
      </c>
      <c r="D23" s="1" t="s">
        <v>111</v>
      </c>
      <c r="E23" s="1" t="s">
        <v>98</v>
      </c>
      <c r="F23" s="1" t="s">
        <v>206</v>
      </c>
      <c r="G23" s="3" t="s">
        <v>68</v>
      </c>
      <c r="H23" s="3" t="s">
        <v>69</v>
      </c>
      <c r="I23" s="1"/>
    </row>
    <row r="24" spans="1:9" ht="255" x14ac:dyDescent="0.25">
      <c r="A24" s="3" t="s">
        <v>262</v>
      </c>
      <c r="B24" s="1" t="s">
        <v>85</v>
      </c>
      <c r="C24" s="1" t="s">
        <v>203</v>
      </c>
      <c r="D24" s="1" t="s">
        <v>204</v>
      </c>
      <c r="E24" s="1" t="s">
        <v>205</v>
      </c>
      <c r="F24" s="1" t="s">
        <v>171</v>
      </c>
      <c r="G24" s="3" t="s">
        <v>69</v>
      </c>
      <c r="H24" s="3" t="s">
        <v>68</v>
      </c>
      <c r="I24" s="1"/>
    </row>
    <row r="25" spans="1:9" ht="360" x14ac:dyDescent="0.25">
      <c r="A25" s="3" t="s">
        <v>263</v>
      </c>
      <c r="B25" s="1" t="s">
        <v>85</v>
      </c>
      <c r="C25" s="1" t="s">
        <v>210</v>
      </c>
      <c r="D25" s="1" t="s">
        <v>211</v>
      </c>
      <c r="E25" s="1" t="s">
        <v>98</v>
      </c>
      <c r="F25" s="1" t="s">
        <v>215</v>
      </c>
      <c r="G25" s="3" t="s">
        <v>69</v>
      </c>
      <c r="H25" s="3" t="s">
        <v>69</v>
      </c>
      <c r="I25" s="1"/>
    </row>
    <row r="26" spans="1:9" ht="360" x14ac:dyDescent="0.25">
      <c r="A26" s="3" t="s">
        <v>264</v>
      </c>
      <c r="B26" s="1" t="s">
        <v>85</v>
      </c>
      <c r="C26" s="1" t="s">
        <v>121</v>
      </c>
      <c r="D26" s="1" t="s">
        <v>111</v>
      </c>
      <c r="E26" s="1" t="s">
        <v>214</v>
      </c>
      <c r="F26" s="1" t="s">
        <v>215</v>
      </c>
      <c r="G26" s="3" t="s">
        <v>102</v>
      </c>
      <c r="H26" s="3" t="s">
        <v>68</v>
      </c>
      <c r="I26"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5"/>
  <sheetViews>
    <sheetView workbookViewId="0">
      <selection activeCell="F18" sqref="F18"/>
    </sheetView>
  </sheetViews>
  <sheetFormatPr defaultRowHeight="15" x14ac:dyDescent="0.25"/>
  <sheetData>
    <row r="1" spans="1:3" x14ac:dyDescent="0.25">
      <c r="A1" s="2" t="s">
        <v>219</v>
      </c>
      <c r="B1" s="2" t="s">
        <v>221</v>
      </c>
      <c r="C1" s="2" t="s">
        <v>220</v>
      </c>
    </row>
    <row r="2" spans="1:3" x14ac:dyDescent="0.25">
      <c r="A2" t="s">
        <v>78</v>
      </c>
      <c r="B2">
        <v>4</v>
      </c>
      <c r="C2">
        <v>0</v>
      </c>
    </row>
    <row r="3" spans="1:3" x14ac:dyDescent="0.25">
      <c r="A3" t="s">
        <v>65</v>
      </c>
      <c r="B3">
        <v>3</v>
      </c>
      <c r="C3">
        <v>1</v>
      </c>
    </row>
    <row r="4" spans="1:3" x14ac:dyDescent="0.25">
      <c r="A4" t="s">
        <v>64</v>
      </c>
      <c r="B4">
        <v>2</v>
      </c>
      <c r="C4">
        <v>2</v>
      </c>
    </row>
    <row r="5" spans="1:3" x14ac:dyDescent="0.25">
      <c r="A5" t="s">
        <v>63</v>
      </c>
      <c r="B5">
        <v>1</v>
      </c>
      <c r="C5">
        <v>3</v>
      </c>
    </row>
    <row r="6" spans="1:3" x14ac:dyDescent="0.25">
      <c r="A6" t="s">
        <v>62</v>
      </c>
      <c r="B6">
        <v>0</v>
      </c>
      <c r="C6">
        <v>4</v>
      </c>
    </row>
    <row r="9" spans="1:3" x14ac:dyDescent="0.25">
      <c r="A9" s="2" t="s">
        <v>301</v>
      </c>
    </row>
    <row r="10" spans="1:3" x14ac:dyDescent="0.25">
      <c r="A10" s="5" t="s">
        <v>294</v>
      </c>
    </row>
    <row r="11" spans="1:3" x14ac:dyDescent="0.25">
      <c r="A11" s="5" t="s">
        <v>295</v>
      </c>
    </row>
    <row r="12" spans="1:3" x14ac:dyDescent="0.25">
      <c r="A12" s="5" t="s">
        <v>296</v>
      </c>
    </row>
    <row r="13" spans="1:3" x14ac:dyDescent="0.25">
      <c r="A13" s="5" t="s">
        <v>297</v>
      </c>
    </row>
    <row r="14" spans="1:3" x14ac:dyDescent="0.25">
      <c r="A14" s="5" t="s">
        <v>298</v>
      </c>
    </row>
    <row r="15" spans="1:3" x14ac:dyDescent="0.25">
      <c r="A15" s="5" t="s">
        <v>299</v>
      </c>
    </row>
    <row r="16" spans="1:3" x14ac:dyDescent="0.25">
      <c r="A16" s="5"/>
    </row>
    <row r="18" spans="1:1" x14ac:dyDescent="0.25">
      <c r="A18" s="2" t="s">
        <v>302</v>
      </c>
    </row>
    <row r="19" spans="1:1" x14ac:dyDescent="0.25">
      <c r="A19" t="s">
        <v>303</v>
      </c>
    </row>
    <row r="20" spans="1:1" x14ac:dyDescent="0.25">
      <c r="A20" t="s">
        <v>317</v>
      </c>
    </row>
    <row r="21" spans="1:1" x14ac:dyDescent="0.25">
      <c r="A21" t="s">
        <v>304</v>
      </c>
    </row>
    <row r="22" spans="1:1" x14ac:dyDescent="0.25">
      <c r="A22" t="s">
        <v>305</v>
      </c>
    </row>
    <row r="25" spans="1:1" x14ac:dyDescent="0.25">
      <c r="A25" s="2" t="s">
        <v>306</v>
      </c>
    </row>
    <row r="26" spans="1:1" x14ac:dyDescent="0.25">
      <c r="A26" t="s">
        <v>307</v>
      </c>
    </row>
    <row r="27" spans="1:1" x14ac:dyDescent="0.25">
      <c r="A27" t="s">
        <v>308</v>
      </c>
    </row>
    <row r="28" spans="1:1" x14ac:dyDescent="0.25">
      <c r="A28" t="s">
        <v>309</v>
      </c>
    </row>
    <row r="29" spans="1:1" x14ac:dyDescent="0.25">
      <c r="A29" t="s">
        <v>310</v>
      </c>
    </row>
    <row r="30" spans="1:1" x14ac:dyDescent="0.25">
      <c r="A30" t="s">
        <v>311</v>
      </c>
    </row>
    <row r="31" spans="1:1" x14ac:dyDescent="0.25">
      <c r="A31" t="s">
        <v>312</v>
      </c>
    </row>
    <row r="32" spans="1:1" x14ac:dyDescent="0.25">
      <c r="A32" t="s">
        <v>313</v>
      </c>
    </row>
    <row r="33" spans="1:1" x14ac:dyDescent="0.25">
      <c r="A33" t="s">
        <v>314</v>
      </c>
    </row>
    <row r="34" spans="1:1" x14ac:dyDescent="0.25">
      <c r="A34" t="s">
        <v>315</v>
      </c>
    </row>
    <row r="35" spans="1:1" x14ac:dyDescent="0.25">
      <c r="A35" t="s">
        <v>316</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Extra data</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Ruoti</dc:creator>
  <cp:lastModifiedBy>Scott Ruoti</cp:lastModifiedBy>
  <dcterms:created xsi:type="dcterms:W3CDTF">2022-02-16T19:02:24Z</dcterms:created>
  <dcterms:modified xsi:type="dcterms:W3CDTF">2022-02-17T14:32:55Z</dcterms:modified>
</cp:coreProperties>
</file>